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30" windowWidth="15195" windowHeight="8445"/>
  </bookViews>
  <sheets>
    <sheet name="Bingo" sheetId="1" r:id="rId1"/>
    <sheet name="Tablero" sheetId="5" r:id="rId2"/>
    <sheet name="Cartones" sheetId="4" r:id="rId3"/>
  </sheets>
  <definedNames>
    <definedName name="Apagon">Bingo!$J$8:$N$17</definedName>
    <definedName name="_xlnm.Print_Area" localSheetId="2">Cartones!$B$5:$P$27</definedName>
    <definedName name="BB">Bingo!$P$2</definedName>
    <definedName name="Bolo">Bingo!$H$9</definedName>
    <definedName name="Bolos">Bingo!$P$3:$P$78</definedName>
    <definedName name="FF">Bingo!$M$6</definedName>
    <definedName name="Fig">Bingo!$S$2</definedName>
    <definedName name="Figuras">Bingo!$R$4:$S$20</definedName>
    <definedName name="LetraA">Bingo!$J$8:$J$17,Bingo!$K$8:$M$9,Bingo!$N$8:$N$17,Bingo!$K$12:$M$13</definedName>
    <definedName name="LetraC">Bingo!$J$8:$J$17,Bingo!$K$8:$N$9,Bingo!$K$16:$N$17</definedName>
    <definedName name="LetraE">Bingo!$J$8:$J$17,Bingo!$K$8:$N$9,Bingo!$K$12:$N$13,Bingo!$K$16:$N$17</definedName>
    <definedName name="LetraF">Bingo!$J$8:$J$17,Bingo!$K$8:$N$9,Bingo!$K$12:$N$13</definedName>
    <definedName name="LetraG">Bingo!$J$8:$J$17,Bingo!$K$8:$N$9,Bingo!$K$16:$M$17,Bingo!$N$12:$N$17,Bingo!$M$12,Bingo!$L$12</definedName>
    <definedName name="LetraH">Bingo!$J$8:$J$17,Bingo!$N$8:$N$17,Bingo!$K$12:$M$13</definedName>
    <definedName name="LetraI">Bingo!$J$8:$J$17</definedName>
    <definedName name="LetraL">Bingo!$J$8:$J$17,Bingo!$K$16:$N$17</definedName>
    <definedName name="LetraO">Bingo!$J$8:$J$17,Bingo!$K$8:$M$9,Bingo!$N$8:$N$17,Bingo!$K$16:$M$17</definedName>
    <definedName name="LetraP">Bingo!$J$8:$J$17,Bingo!$K$8:$N$9,Bingo!$K$12:$N$13,Bingo!$N$10</definedName>
    <definedName name="LetraS">Bingo!$J$8:$N$9,Bingo!$J$10,Bingo!$J$12:$N$13,Bingo!$N$14,Bingo!$J$16:$N$17</definedName>
    <definedName name="LetraT">Bingo!$J$8:$N$9,Bingo!$L$10:$L$17</definedName>
    <definedName name="LetraU">Bingo!$J$8:$J$17,Bingo!$N$8:$N$17,Bingo!$K$16:$M$17</definedName>
    <definedName name="LetraW">Bingo!$J$8:$J$17,Bingo!$N$8:$N$17,Bingo!$K$16:$M$17,Bingo!$L$8:$L$15</definedName>
    <definedName name="LetraX">Bingo!$J$8,Bingo!$K$10,Bingo!$L$12,Bingo!$M$14,Bingo!$N$16,Bingo!$N$8,Bingo!$M$10,Bingo!$K$14,Bingo!$J$16</definedName>
    <definedName name="LetraZ">Bingo!$J$8:$N$9,Bingo!$J$16:$N$17,Bingo!$K$14,Bingo!$L$12,Bingo!$M$10</definedName>
    <definedName name="Libre">Bingo!$L$12</definedName>
    <definedName name="OK">Bingo!$T$5</definedName>
    <definedName name="pantalla">Bingo!$A$1:$N$22</definedName>
    <definedName name="SS">Cartones!$V$4</definedName>
    <definedName name="Tabla">Bingo!$B$6:$F$21</definedName>
    <definedName name="Tarj">Cartones!$R$6:$V$10</definedName>
    <definedName name="Tarj1">Cartones!$C$14:$G$18</definedName>
    <definedName name="Tarj2">Cartones!$C$22:$G$26</definedName>
    <definedName name="Tarj3">Cartones!$K$6:$O$10</definedName>
    <definedName name="Tarj4">Cartones!$K$14:$O$18</definedName>
    <definedName name="Tarj5">Cartones!$K$22:$O$26</definedName>
    <definedName name="Tarj6">Cartones!$C$6:$G$10</definedName>
    <definedName name="Test">Cartones!$R$2:$V$2</definedName>
  </definedNames>
  <calcPr calcId="145621"/>
</workbook>
</file>

<file path=xl/calcChain.xml><?xml version="1.0" encoding="utf-8"?>
<calcChain xmlns="http://schemas.openxmlformats.org/spreadsheetml/2006/main">
  <c r="H17" i="5" l="1"/>
  <c r="L16" i="5"/>
  <c r="T7" i="1" a="1"/>
  <c r="T7" i="1" s="1"/>
  <c r="C10" i="5" s="1"/>
  <c r="T8" i="1" a="1"/>
  <c r="T8" i="1" s="1"/>
  <c r="D10" i="5" s="1"/>
  <c r="T9" i="1" a="1"/>
  <c r="T9" i="1" s="1"/>
  <c r="E10" i="5" s="1"/>
  <c r="T10" i="1" a="1"/>
  <c r="T10" i="1" s="1"/>
  <c r="F10" i="5" s="1"/>
  <c r="T11" i="1" a="1"/>
  <c r="T11" i="1" s="1"/>
  <c r="G10" i="5" s="1"/>
  <c r="T12" i="1" a="1"/>
  <c r="T12" i="1" s="1"/>
  <c r="H10" i="5" s="1"/>
  <c r="T13" i="1" a="1"/>
  <c r="T13" i="1" s="1"/>
  <c r="I10" i="5" s="1"/>
  <c r="T14" i="1" a="1"/>
  <c r="T15" i="1" a="1"/>
  <c r="T15" i="1" s="1"/>
  <c r="K10" i="5" s="1"/>
  <c r="T16" i="1" a="1"/>
  <c r="T16" i="1" s="1"/>
  <c r="L10" i="5" s="1"/>
  <c r="T17" i="1" a="1"/>
  <c r="T17" i="1" s="1"/>
  <c r="M10" i="5" s="1"/>
  <c r="T18" i="1" a="1"/>
  <c r="T18" i="1" s="1"/>
  <c r="N10" i="5" s="1"/>
  <c r="T19" i="1" a="1"/>
  <c r="T19" i="1" s="1"/>
  <c r="O10" i="5" s="1"/>
  <c r="T20" i="1" a="1"/>
  <c r="T20" i="1" s="1"/>
  <c r="P10" i="5" s="1"/>
  <c r="T21" i="1" a="1"/>
  <c r="T21" i="1" s="1"/>
  <c r="Q10" i="5" s="1"/>
  <c r="U7" i="1" a="1"/>
  <c r="U7" i="1" s="1"/>
  <c r="C11" i="5" s="1"/>
  <c r="U8" i="1" a="1"/>
  <c r="U8" i="1" s="1"/>
  <c r="D11" i="5" s="1"/>
  <c r="U9" i="1" a="1"/>
  <c r="U9" i="1" s="1"/>
  <c r="E11" i="5" s="1"/>
  <c r="U10" i="1" a="1"/>
  <c r="U10" i="1" s="1"/>
  <c r="F11" i="5" s="1"/>
  <c r="U11" i="1" a="1"/>
  <c r="U11" i="1" s="1"/>
  <c r="G11" i="5" s="1"/>
  <c r="U12" i="1" a="1"/>
  <c r="U12" i="1" s="1"/>
  <c r="H11" i="5" s="1"/>
  <c r="U13" i="1" a="1"/>
  <c r="U13" i="1" s="1"/>
  <c r="I11" i="5" s="1"/>
  <c r="U14" i="1" a="1"/>
  <c r="U14" i="1" s="1"/>
  <c r="J11" i="5" s="1"/>
  <c r="U15" i="1" a="1"/>
  <c r="U15" i="1" s="1"/>
  <c r="K11" i="5" s="1"/>
  <c r="U16" i="1" a="1"/>
  <c r="U16" i="1" s="1"/>
  <c r="L11" i="5" s="1"/>
  <c r="U17" i="1" a="1"/>
  <c r="U17" i="1" s="1"/>
  <c r="M11" i="5" s="1"/>
  <c r="U18" i="1" a="1"/>
  <c r="U18" i="1" s="1"/>
  <c r="N11" i="5" s="1"/>
  <c r="U19" i="1" a="1"/>
  <c r="U20" i="1" a="1"/>
  <c r="U20" i="1" s="1"/>
  <c r="P11" i="5" s="1"/>
  <c r="U21" i="1" a="1"/>
  <c r="U21" i="1" s="1"/>
  <c r="Q11" i="5" s="1"/>
  <c r="V7" i="1" a="1"/>
  <c r="V7" i="1" s="1"/>
  <c r="C12" i="5" s="1"/>
  <c r="V8" i="1" a="1"/>
  <c r="V8" i="1" s="1"/>
  <c r="D12" i="5" s="1"/>
  <c r="V9" i="1" a="1"/>
  <c r="V9" i="1" s="1"/>
  <c r="E12" i="5" s="1"/>
  <c r="V10" i="1" a="1"/>
  <c r="V10" i="1" s="1"/>
  <c r="F12" i="5" s="1"/>
  <c r="V11" i="1" a="1"/>
  <c r="V11" i="1" s="1"/>
  <c r="G12" i="5" s="1"/>
  <c r="V12" i="1" a="1"/>
  <c r="V12" i="1" s="1"/>
  <c r="H12" i="5" s="1"/>
  <c r="V13" i="1" a="1"/>
  <c r="V13" i="1" s="1"/>
  <c r="I12" i="5" s="1"/>
  <c r="V14" i="1" a="1"/>
  <c r="V14" i="1" s="1"/>
  <c r="J12" i="5" s="1"/>
  <c r="V15" i="1" a="1"/>
  <c r="V15" i="1" s="1"/>
  <c r="K12" i="5" s="1"/>
  <c r="V16" i="1" a="1"/>
  <c r="V16" i="1" s="1"/>
  <c r="L12" i="5" s="1"/>
  <c r="V17" i="1" a="1"/>
  <c r="V17" i="1" s="1"/>
  <c r="M12" i="5" s="1"/>
  <c r="V18" i="1" a="1"/>
  <c r="V18" i="1" s="1"/>
  <c r="N12" i="5" s="1"/>
  <c r="V19" i="1" a="1"/>
  <c r="V19" i="1" s="1"/>
  <c r="O12" i="5" s="1"/>
  <c r="V20" i="1" a="1"/>
  <c r="V20" i="1" s="1"/>
  <c r="P12" i="5" s="1"/>
  <c r="V21" i="1" a="1"/>
  <c r="V21" i="1" s="1"/>
  <c r="Q12" i="5" s="1"/>
  <c r="W7" i="1" a="1"/>
  <c r="W7" i="1" s="1"/>
  <c r="C13" i="5" s="1"/>
  <c r="W8" i="1" a="1"/>
  <c r="W8" i="1" s="1"/>
  <c r="D13" i="5" s="1"/>
  <c r="W9" i="1" a="1"/>
  <c r="W10" i="1" a="1"/>
  <c r="W10" i="1" s="1"/>
  <c r="F13" i="5" s="1"/>
  <c r="W11" i="1" a="1"/>
  <c r="W11" i="1" s="1"/>
  <c r="G13" i="5" s="1"/>
  <c r="W12" i="1" a="1"/>
  <c r="W12" i="1" s="1"/>
  <c r="H13" i="5" s="1"/>
  <c r="W13" i="1" a="1"/>
  <c r="W14" i="1" a="1"/>
  <c r="W14" i="1" s="1"/>
  <c r="J13" i="5" s="1"/>
  <c r="W15" i="1" a="1"/>
  <c r="W15" i="1" s="1"/>
  <c r="K13" i="5" s="1"/>
  <c r="W16" i="1" a="1"/>
  <c r="W16" i="1" s="1"/>
  <c r="L13" i="5" s="1"/>
  <c r="W17" i="1" a="1"/>
  <c r="W18" i="1" a="1"/>
  <c r="W18" i="1" s="1"/>
  <c r="N13" i="5" s="1"/>
  <c r="W19" i="1" a="1"/>
  <c r="W19" i="1" s="1"/>
  <c r="O13" i="5" s="1"/>
  <c r="W20" i="1" a="1"/>
  <c r="W20" i="1" s="1"/>
  <c r="P13" i="5" s="1"/>
  <c r="W21" i="1" a="1"/>
  <c r="W21" i="1" s="1"/>
  <c r="Q13" i="5" s="1"/>
  <c r="X7" i="1" a="1"/>
  <c r="X7" i="1" s="1"/>
  <c r="C14" i="5" s="1"/>
  <c r="X8" i="1" a="1"/>
  <c r="X8" i="1" s="1"/>
  <c r="D14" i="5" s="1"/>
  <c r="X9" i="1" a="1"/>
  <c r="X9" i="1" s="1"/>
  <c r="E14" i="5" s="1"/>
  <c r="X10" i="1" a="1"/>
  <c r="X11" i="1" a="1"/>
  <c r="X11" i="1" s="1"/>
  <c r="G14" i="5" s="1"/>
  <c r="X12" i="1" a="1"/>
  <c r="X12" i="1" s="1"/>
  <c r="H14" i="5" s="1"/>
  <c r="X13" i="1" a="1"/>
  <c r="X13" i="1" s="1"/>
  <c r="I14" i="5" s="1"/>
  <c r="X14" i="1" a="1"/>
  <c r="X15" i="1" a="1"/>
  <c r="X15" i="1" s="1"/>
  <c r="K14" i="5" s="1"/>
  <c r="X16" i="1" a="1"/>
  <c r="X16" i="1" s="1"/>
  <c r="L14" i="5" s="1"/>
  <c r="X17" i="1" a="1"/>
  <c r="X17" i="1" s="1"/>
  <c r="M14" i="5" s="1"/>
  <c r="X18" i="1" a="1"/>
  <c r="X18" i="1" s="1"/>
  <c r="N14" i="5" s="1"/>
  <c r="X19" i="1" a="1"/>
  <c r="X19" i="1" s="1"/>
  <c r="O14" i="5" s="1"/>
  <c r="X20" i="1" a="1"/>
  <c r="X20" i="1" s="1"/>
  <c r="P14" i="5" s="1"/>
  <c r="X21" i="1" a="1"/>
  <c r="X21" i="1" s="1"/>
  <c r="Q14" i="5" s="1"/>
  <c r="R6" i="4"/>
  <c r="V6" i="4"/>
  <c r="S6" i="4"/>
  <c r="T6" i="4"/>
  <c r="T7" i="4"/>
  <c r="U6" i="4"/>
  <c r="R7" i="4"/>
  <c r="R8" i="4"/>
  <c r="R9" i="4"/>
  <c r="R10" i="4"/>
  <c r="V7" i="4"/>
  <c r="V8" i="4"/>
  <c r="V9" i="4"/>
  <c r="V10" i="4"/>
  <c r="U7" i="4"/>
  <c r="U8" i="4"/>
  <c r="U9" i="4"/>
  <c r="U10" i="4"/>
  <c r="T10" i="4"/>
  <c r="T9" i="4"/>
  <c r="S7" i="4"/>
  <c r="S8" i="4"/>
  <c r="S9" i="4"/>
  <c r="S10" i="4"/>
  <c r="S2" i="1"/>
  <c r="H16" i="1"/>
  <c r="W9" i="1"/>
  <c r="E13" i="5" s="1"/>
  <c r="X10" i="1"/>
  <c r="F14" i="5" s="1"/>
  <c r="W13" i="1"/>
  <c r="I13" i="5" s="1"/>
  <c r="X14" i="1"/>
  <c r="J14" i="5" s="1"/>
  <c r="W17" i="1"/>
  <c r="M13" i="5" s="1"/>
  <c r="U19" i="1"/>
  <c r="O11" i="5" s="1"/>
  <c r="T14" i="1"/>
  <c r="J10" i="5" s="1"/>
  <c r="T5" i="1" l="1" a="1"/>
  <c r="T5" i="1" s="1"/>
  <c r="U2" i="4" a="1"/>
  <c r="U2" i="4" s="1"/>
  <c r="R2" i="4" a="1"/>
  <c r="R2" i="4" s="1"/>
  <c r="S2" i="4" a="1"/>
  <c r="S2" i="4" s="1"/>
  <c r="H8" i="1"/>
  <c r="T2" i="4" a="1"/>
  <c r="T2" i="4" s="1"/>
  <c r="V2" i="4" a="1"/>
  <c r="V2" i="4" s="1"/>
  <c r="H16" i="5" l="1"/>
  <c r="H10" i="1"/>
  <c r="V4" i="4"/>
</calcChain>
</file>

<file path=xl/sharedStrings.xml><?xml version="1.0" encoding="utf-8"?>
<sst xmlns="http://schemas.openxmlformats.org/spreadsheetml/2006/main" count="76" uniqueCount="32">
  <si>
    <t>B</t>
  </si>
  <si>
    <t>I</t>
  </si>
  <si>
    <t>N</t>
  </si>
  <si>
    <t>G</t>
  </si>
  <si>
    <t>O</t>
  </si>
  <si>
    <t>Bolos</t>
  </si>
  <si>
    <t>Bolos jugados</t>
  </si>
  <si>
    <t>FIGURA:</t>
  </si>
  <si>
    <t>Figuras:</t>
  </si>
  <si>
    <t>Letra A</t>
  </si>
  <si>
    <t>Letra C</t>
  </si>
  <si>
    <t>Letra E</t>
  </si>
  <si>
    <t>Letra F</t>
  </si>
  <si>
    <t>Letra G</t>
  </si>
  <si>
    <t>Letra H</t>
  </si>
  <si>
    <t>Letra I</t>
  </si>
  <si>
    <t>Letra L</t>
  </si>
  <si>
    <t>Letra O</t>
  </si>
  <si>
    <t>Letra P</t>
  </si>
  <si>
    <t>Letra S</t>
  </si>
  <si>
    <t>Letra T</t>
  </si>
  <si>
    <t>Letra U</t>
  </si>
  <si>
    <t>Letra X</t>
  </si>
  <si>
    <t>Letra W</t>
  </si>
  <si>
    <t>Letra Z</t>
  </si>
  <si>
    <t>Libre</t>
  </si>
  <si>
    <t>Apagon</t>
  </si>
  <si>
    <t>extraer una bolilla.</t>
  </si>
  <si>
    <t>Hacer clic en la bola roja para</t>
  </si>
  <si>
    <t>Hacer clic en la bolita amarilla para</t>
  </si>
  <si>
    <t>y luego poder imprimirlos de 6 en 6.</t>
  </si>
  <si>
    <t>generar nuevos cartones de juego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</si>
</sst>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0"/>
      <color indexed="22"/>
      <name val="Arial"/>
      <family val="2"/>
    </font>
    <font>
      <b/>
      <sz val="28"/>
      <name val="Arial"/>
      <family val="2"/>
    </font>
    <font>
      <b/>
      <sz val="10"/>
      <name val="Arial Rounded MT Bold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24"/>
      <color indexed="9"/>
      <name val="Arial"/>
      <family val="2"/>
    </font>
    <font>
      <b/>
      <sz val="26"/>
      <name val="Arial"/>
      <family val="2"/>
    </font>
    <font>
      <b/>
      <sz val="12"/>
      <color indexed="10"/>
      <name val="Arial"/>
      <family val="2"/>
    </font>
    <font>
      <sz val="10"/>
      <name val="Arial"/>
      <family val="2"/>
    </font>
    <font>
      <b/>
      <sz val="28"/>
      <name val="Arial Rounded MT Bold"/>
      <family val="2"/>
    </font>
    <font>
      <sz val="28"/>
      <name val="Arial"/>
      <family val="2"/>
    </font>
    <font>
      <b/>
      <sz val="14"/>
      <name val="Arial"/>
      <family val="2"/>
    </font>
    <font>
      <sz val="22"/>
      <name val="Arial"/>
      <family val="2"/>
    </font>
    <font>
      <b/>
      <sz val="2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3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/>
    <xf numFmtId="0" fontId="2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7" fillId="4" borderId="3" xfId="0" applyFont="1" applyFill="1" applyBorder="1"/>
    <xf numFmtId="0" fontId="8" fillId="4" borderId="4" xfId="0" applyFont="1" applyFill="1" applyBorder="1" applyAlignment="1">
      <alignment horizontal="center" vertical="center"/>
    </xf>
    <xf numFmtId="0" fontId="7" fillId="4" borderId="5" xfId="0" applyFont="1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17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12" fillId="3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5" fillId="0" borderId="0" xfId="0" applyFont="1"/>
    <xf numFmtId="0" fontId="16" fillId="0" borderId="0" xfId="0" applyFont="1"/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6" fillId="0" borderId="20" xfId="0" applyFont="1" applyFill="1" applyBorder="1" applyAlignment="1">
      <alignment horizontal="center" vertical="center"/>
    </xf>
    <xf numFmtId="0" fontId="6" fillId="0" borderId="21" xfId="0" applyFont="1" applyFill="1" applyBorder="1" applyAlignment="1">
      <alignment horizontal="center" vertical="center"/>
    </xf>
    <xf numFmtId="0" fontId="14" fillId="0" borderId="19" xfId="0" applyFont="1" applyBorder="1" applyAlignment="1">
      <alignment horizontal="center" vertical="top"/>
    </xf>
    <xf numFmtId="0" fontId="14" fillId="0" borderId="0" xfId="0" applyFont="1" applyAlignment="1">
      <alignment horizontal="center" vertical="top"/>
    </xf>
    <xf numFmtId="0" fontId="4" fillId="5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6" dropStyle="combo" dx="15" fmlaLink="M6" fmlaRange="$S$4:$S$20" sel="9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457200</xdr:colOff>
      <xdr:row>1</xdr:row>
      <xdr:rowOff>114300</xdr:rowOff>
    </xdr:from>
    <xdr:to>
      <xdr:col>8</xdr:col>
      <xdr:colOff>266700</xdr:colOff>
      <xdr:row>4</xdr:row>
      <xdr:rowOff>28575</xdr:rowOff>
    </xdr:to>
    <xdr:sp macro="[0]!Inicio" textlink="">
      <xdr:nvSpPr>
        <xdr:cNvPr id="1026" name="AutoShape 2"/>
        <xdr:cNvSpPr>
          <a:spLocks noChangeArrowheads="1"/>
        </xdr:cNvSpPr>
      </xdr:nvSpPr>
      <xdr:spPr bwMode="auto">
        <a:xfrm>
          <a:off x="2743200" y="276225"/>
          <a:ext cx="1333500" cy="400050"/>
        </a:xfrm>
        <a:prstGeom prst="bevel">
          <a:avLst>
            <a:gd name="adj" fmla="val 12500"/>
          </a:avLst>
        </a:prstGeom>
        <a:gradFill rotWithShape="1">
          <a:gsLst>
            <a:gs pos="0">
              <a:srgbClr val="FF6600"/>
            </a:gs>
            <a:gs pos="100000">
              <a:srgbClr val="FFCC00"/>
            </a:gs>
          </a:gsLst>
          <a:lin ang="2700000" scaled="1"/>
        </a:gradFill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0" tIns="46800" rIns="0" bIns="46800" anchor="t" upright="1"/>
        <a:lstStyle/>
        <a:p>
          <a:pPr algn="ctr" rtl="1">
            <a:defRPr sz="1000"/>
          </a:pPr>
          <a:r>
            <a:rPr lang="es-PE" sz="1200" b="1" i="0" strike="noStrike">
              <a:solidFill>
                <a:srgbClr val="000000"/>
              </a:solidFill>
              <a:latin typeface="Arial"/>
              <a:cs typeface="Arial"/>
            </a:rPr>
            <a:t>Nuevo Juego</a:t>
          </a:r>
        </a:p>
      </xdr:txBody>
    </xdr:sp>
    <xdr:clientData/>
  </xdr:twoCellAnchor>
  <xdr:twoCellAnchor>
    <xdr:from>
      <xdr:col>0</xdr:col>
      <xdr:colOff>695325</xdr:colOff>
      <xdr:row>0</xdr:row>
      <xdr:rowOff>95250</xdr:rowOff>
    </xdr:from>
    <xdr:to>
      <xdr:col>6</xdr:col>
      <xdr:colOff>85725</xdr:colOff>
      <xdr:row>4</xdr:row>
      <xdr:rowOff>38100</xdr:rowOff>
    </xdr:to>
    <xdr:sp macro="" textlink="">
      <xdr:nvSpPr>
        <xdr:cNvPr id="1027" name="WordArt 3"/>
        <xdr:cNvSpPr>
          <a:spLocks noChangeArrowheads="1" noChangeShapeType="1" noTextEdit="1"/>
        </xdr:cNvSpPr>
      </xdr:nvSpPr>
      <xdr:spPr bwMode="auto">
        <a:xfrm>
          <a:off x="695325" y="95250"/>
          <a:ext cx="1676400" cy="59055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PE" sz="3600" kern="10" spc="0">
              <a:ln w="12700">
                <a:solidFill>
                  <a:srgbClr val="EAEAEA"/>
                </a:solidFill>
                <a:round/>
                <a:headEnd/>
                <a:tailEnd/>
              </a:ln>
              <a:gradFill rotWithShape="0">
                <a:gsLst>
                  <a:gs pos="0">
                    <a:srgbClr val="A603AB"/>
                  </a:gs>
                  <a:gs pos="12000">
                    <a:srgbClr val="E81766"/>
                  </a:gs>
                  <a:gs pos="27000">
                    <a:srgbClr val="EE3F17"/>
                  </a:gs>
                  <a:gs pos="48000">
                    <a:srgbClr val="FFFF00"/>
                  </a:gs>
                  <a:gs pos="64999">
                    <a:srgbClr val="1A8D48"/>
                  </a:gs>
                  <a:gs pos="78999">
                    <a:srgbClr val="0819FB"/>
                  </a:gs>
                  <a:gs pos="100000">
                    <a:srgbClr val="A603AB"/>
                  </a:gs>
                </a:gsLst>
                <a:lin ang="0" scaled="1"/>
              </a:gradFill>
              <a:effectLst>
                <a:outerShdw dist="107763" dir="2700000" algn="ctr" rotWithShape="0">
                  <a:srgbClr val="C0C0C0">
                    <a:alpha val="50000"/>
                  </a:srgbClr>
                </a:outerShdw>
              </a:effectLst>
              <a:latin typeface="Arial Black"/>
            </a:rPr>
            <a:t>BINGO</a:t>
          </a:r>
        </a:p>
      </xdr:txBody>
    </xdr:sp>
    <xdr:clientData/>
  </xdr:twoCellAnchor>
  <xdr:twoCellAnchor>
    <xdr:from>
      <xdr:col>7</xdr:col>
      <xdr:colOff>0</xdr:colOff>
      <xdr:row>15</xdr:row>
      <xdr:rowOff>0</xdr:rowOff>
    </xdr:from>
    <xdr:to>
      <xdr:col>8</xdr:col>
      <xdr:colOff>0</xdr:colOff>
      <xdr:row>18</xdr:row>
      <xdr:rowOff>0</xdr:rowOff>
    </xdr:to>
    <xdr:sp macro="" textlink="">
      <xdr:nvSpPr>
        <xdr:cNvPr id="1028" name="Rectangle 4"/>
        <xdr:cNvSpPr>
          <a:spLocks noChangeArrowheads="1"/>
        </xdr:cNvSpPr>
      </xdr:nvSpPr>
      <xdr:spPr bwMode="auto">
        <a:xfrm>
          <a:off x="3048000" y="2476500"/>
          <a:ext cx="762000" cy="495300"/>
        </a:xfrm>
        <a:prstGeom prst="rect">
          <a:avLst/>
        </a:prstGeom>
        <a:noFill/>
        <a:ln w="57150" cmpd="thinThick">
          <a:solidFill>
            <a:srgbClr val="9933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6</xdr:col>
      <xdr:colOff>447675</xdr:colOff>
      <xdr:row>4</xdr:row>
      <xdr:rowOff>95250</xdr:rowOff>
    </xdr:from>
    <xdr:to>
      <xdr:col>8</xdr:col>
      <xdr:colOff>323850</xdr:colOff>
      <xdr:row>14</xdr:row>
      <xdr:rowOff>38100</xdr:rowOff>
    </xdr:to>
    <xdr:grpSp>
      <xdr:nvGrpSpPr>
        <xdr:cNvPr id="1057" name="Group 33"/>
        <xdr:cNvGrpSpPr>
          <a:grpSpLocks/>
        </xdr:cNvGrpSpPr>
      </xdr:nvGrpSpPr>
      <xdr:grpSpPr bwMode="auto">
        <a:xfrm>
          <a:off x="2748329" y="740019"/>
          <a:ext cx="1400175" cy="1584081"/>
          <a:chOff x="287" y="73"/>
          <a:chExt cx="147" cy="168"/>
        </a:xfrm>
      </xdr:grpSpPr>
      <xdr:sp macro="[0]!Bingo" textlink="">
        <xdr:nvSpPr>
          <xdr:cNvPr id="1025" name="Oval 1"/>
          <xdr:cNvSpPr>
            <a:spLocks noChangeArrowheads="1"/>
          </xdr:cNvSpPr>
        </xdr:nvSpPr>
        <xdr:spPr bwMode="auto">
          <a:xfrm>
            <a:off x="291" y="85"/>
            <a:ext cx="138" cy="142"/>
          </a:xfrm>
          <a:prstGeom prst="ellipse">
            <a:avLst/>
          </a:prstGeom>
          <a:gradFill rotWithShape="1">
            <a:gsLst>
              <a:gs pos="0">
                <a:srgbClr val="FF0000"/>
              </a:gs>
              <a:gs pos="100000">
                <a:srgbClr val="FF0000">
                  <a:gamma/>
                  <a:shade val="0"/>
                  <a:invGamma/>
                </a:srgbClr>
              </a:gs>
            </a:gsLst>
            <a:lin ang="2700000" scaled="1"/>
          </a:gradFill>
          <a:ln w="19050">
            <a:solidFill>
              <a:srgbClr val="FFCC00"/>
            </a:solidFill>
            <a:round/>
            <a:headEnd/>
            <a:tailEnd/>
          </a:ln>
          <a:effectLst>
            <a:outerShdw dist="107763" dir="2700000" algn="ctr" rotWithShape="0">
              <a:srgbClr val="808080">
                <a:alpha val="50000"/>
              </a:srgbClr>
            </a:outerShdw>
          </a:effectLst>
        </xdr:spPr>
      </xdr:sp>
      <xdr:sp macro="[0]!Bingo" textlink="">
        <xdr:nvSpPr>
          <xdr:cNvPr id="1029" name="Oval 5"/>
          <xdr:cNvSpPr>
            <a:spLocks noChangeArrowheads="1"/>
          </xdr:cNvSpPr>
        </xdr:nvSpPr>
        <xdr:spPr bwMode="auto">
          <a:xfrm>
            <a:off x="314" y="109"/>
            <a:ext cx="92" cy="94"/>
          </a:xfrm>
          <a:prstGeom prst="ellipse">
            <a:avLst/>
          </a:pr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Bingo" textlink="">
        <xdr:nvSpPr>
          <xdr:cNvPr id="1030" name="Arc 6"/>
          <xdr:cNvSpPr>
            <a:spLocks/>
          </xdr:cNvSpPr>
        </xdr:nvSpPr>
        <xdr:spPr bwMode="auto">
          <a:xfrm rot="21038821" flipV="1">
            <a:off x="288" y="100"/>
            <a:ext cx="40" cy="42"/>
          </a:xfrm>
          <a:custGeom>
            <a:avLst/>
            <a:gdLst>
              <a:gd name="G0" fmla="+- 1810 0 0"/>
              <a:gd name="G1" fmla="+- 21600 0 0"/>
              <a:gd name="G2" fmla="+- 21600 0 0"/>
              <a:gd name="T0" fmla="*/ 0 w 23410"/>
              <a:gd name="T1" fmla="*/ 76 h 23450"/>
              <a:gd name="T2" fmla="*/ 23331 w 23410"/>
              <a:gd name="T3" fmla="*/ 23450 h 23450"/>
              <a:gd name="T4" fmla="*/ 1810 w 23410"/>
              <a:gd name="T5" fmla="*/ 21600 h 234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410" h="23450" fill="none" extrusionOk="0">
                <a:moveTo>
                  <a:pt x="-1" y="75"/>
                </a:moveTo>
                <a:cubicBezTo>
                  <a:pt x="602" y="25"/>
                  <a:pt x="1205" y="-1"/>
                  <a:pt x="1810" y="0"/>
                </a:cubicBezTo>
                <a:cubicBezTo>
                  <a:pt x="13739" y="0"/>
                  <a:pt x="23410" y="9670"/>
                  <a:pt x="23410" y="21600"/>
                </a:cubicBezTo>
                <a:cubicBezTo>
                  <a:pt x="23410" y="22217"/>
                  <a:pt x="23383" y="22834"/>
                  <a:pt x="23330" y="23449"/>
                </a:cubicBezTo>
              </a:path>
              <a:path w="23410" h="23450" stroke="0" extrusionOk="0">
                <a:moveTo>
                  <a:pt x="-1" y="75"/>
                </a:moveTo>
                <a:cubicBezTo>
                  <a:pt x="602" y="25"/>
                  <a:pt x="1205" y="-1"/>
                  <a:pt x="1810" y="0"/>
                </a:cubicBezTo>
                <a:cubicBezTo>
                  <a:pt x="13739" y="0"/>
                  <a:pt x="23410" y="9670"/>
                  <a:pt x="23410" y="21600"/>
                </a:cubicBezTo>
                <a:cubicBezTo>
                  <a:pt x="23410" y="22217"/>
                  <a:pt x="23383" y="22834"/>
                  <a:pt x="23330" y="23449"/>
                </a:cubicBezTo>
                <a:lnTo>
                  <a:pt x="1810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Bingo" textlink="">
        <xdr:nvSpPr>
          <xdr:cNvPr id="1032" name="Arc 8"/>
          <xdr:cNvSpPr>
            <a:spLocks/>
          </xdr:cNvSpPr>
        </xdr:nvSpPr>
        <xdr:spPr bwMode="auto">
          <a:xfrm rot="760823" flipH="1" flipV="1">
            <a:off x="393" y="102"/>
            <a:ext cx="39" cy="40"/>
          </a:xfrm>
          <a:custGeom>
            <a:avLst/>
            <a:gdLst>
              <a:gd name="G0" fmla="+- 973 0 0"/>
              <a:gd name="G1" fmla="+- 21600 0 0"/>
              <a:gd name="G2" fmla="+- 21600 0 0"/>
              <a:gd name="T0" fmla="*/ 0 w 22573"/>
              <a:gd name="T1" fmla="*/ 22 h 22258"/>
              <a:gd name="T2" fmla="*/ 22563 w 22573"/>
              <a:gd name="T3" fmla="*/ 22258 h 22258"/>
              <a:gd name="T4" fmla="*/ 973 w 22573"/>
              <a:gd name="T5" fmla="*/ 21600 h 222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2573" h="22258" fill="none" extrusionOk="0">
                <a:moveTo>
                  <a:pt x="-1" y="21"/>
                </a:moveTo>
                <a:cubicBezTo>
                  <a:pt x="324" y="7"/>
                  <a:pt x="648" y="-1"/>
                  <a:pt x="973" y="0"/>
                </a:cubicBezTo>
                <a:cubicBezTo>
                  <a:pt x="12902" y="0"/>
                  <a:pt x="22573" y="9670"/>
                  <a:pt x="22573" y="21600"/>
                </a:cubicBezTo>
                <a:cubicBezTo>
                  <a:pt x="22573" y="21819"/>
                  <a:pt x="22569" y="22038"/>
                  <a:pt x="22562" y="22257"/>
                </a:cubicBezTo>
              </a:path>
              <a:path w="22573" h="22258" stroke="0" extrusionOk="0">
                <a:moveTo>
                  <a:pt x="-1" y="21"/>
                </a:moveTo>
                <a:cubicBezTo>
                  <a:pt x="324" y="7"/>
                  <a:pt x="648" y="-1"/>
                  <a:pt x="973" y="0"/>
                </a:cubicBezTo>
                <a:cubicBezTo>
                  <a:pt x="12902" y="0"/>
                  <a:pt x="22573" y="9670"/>
                  <a:pt x="22573" y="21600"/>
                </a:cubicBezTo>
                <a:cubicBezTo>
                  <a:pt x="22573" y="21819"/>
                  <a:pt x="22569" y="22038"/>
                  <a:pt x="22562" y="22257"/>
                </a:cubicBezTo>
                <a:lnTo>
                  <a:pt x="973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Bingo" textlink="">
        <xdr:nvSpPr>
          <xdr:cNvPr id="1034" name="Arc 10"/>
          <xdr:cNvSpPr>
            <a:spLocks/>
          </xdr:cNvSpPr>
        </xdr:nvSpPr>
        <xdr:spPr bwMode="auto">
          <a:xfrm rot="750969">
            <a:off x="287" y="166"/>
            <a:ext cx="40" cy="44"/>
          </a:xfrm>
          <a:custGeom>
            <a:avLst/>
            <a:gdLst>
              <a:gd name="G0" fmla="+- 1526 0 0"/>
              <a:gd name="G1" fmla="+- 21600 0 0"/>
              <a:gd name="G2" fmla="+- 21600 0 0"/>
              <a:gd name="T0" fmla="*/ 0 w 23126"/>
              <a:gd name="T1" fmla="*/ 54 h 24834"/>
              <a:gd name="T2" fmla="*/ 22883 w 23126"/>
              <a:gd name="T3" fmla="*/ 24834 h 24834"/>
              <a:gd name="T4" fmla="*/ 1526 w 23126"/>
              <a:gd name="T5" fmla="*/ 21600 h 248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126" h="24834" fill="none" extrusionOk="0">
                <a:moveTo>
                  <a:pt x="-1" y="53"/>
                </a:moveTo>
                <a:cubicBezTo>
                  <a:pt x="507" y="18"/>
                  <a:pt x="1016" y="-1"/>
                  <a:pt x="1526" y="0"/>
                </a:cubicBezTo>
                <a:cubicBezTo>
                  <a:pt x="13455" y="0"/>
                  <a:pt x="23126" y="9670"/>
                  <a:pt x="23126" y="21600"/>
                </a:cubicBezTo>
                <a:cubicBezTo>
                  <a:pt x="23126" y="22682"/>
                  <a:pt x="23044" y="23763"/>
                  <a:pt x="22882" y="24833"/>
                </a:cubicBezTo>
              </a:path>
              <a:path w="23126" h="24834" stroke="0" extrusionOk="0">
                <a:moveTo>
                  <a:pt x="-1" y="53"/>
                </a:moveTo>
                <a:cubicBezTo>
                  <a:pt x="507" y="18"/>
                  <a:pt x="1016" y="-1"/>
                  <a:pt x="1526" y="0"/>
                </a:cubicBezTo>
                <a:cubicBezTo>
                  <a:pt x="13455" y="0"/>
                  <a:pt x="23126" y="9670"/>
                  <a:pt x="23126" y="21600"/>
                </a:cubicBezTo>
                <a:cubicBezTo>
                  <a:pt x="23126" y="22682"/>
                  <a:pt x="23044" y="23763"/>
                  <a:pt x="22882" y="24833"/>
                </a:cubicBezTo>
                <a:lnTo>
                  <a:pt x="1526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Bingo" textlink="">
        <xdr:nvSpPr>
          <xdr:cNvPr id="1035" name="Arc 11"/>
          <xdr:cNvSpPr>
            <a:spLocks/>
          </xdr:cNvSpPr>
        </xdr:nvSpPr>
        <xdr:spPr bwMode="auto">
          <a:xfrm rot="20659404" flipH="1">
            <a:off x="393" y="167"/>
            <a:ext cx="41" cy="40"/>
          </a:xfrm>
          <a:custGeom>
            <a:avLst/>
            <a:gdLst>
              <a:gd name="G0" fmla="+- 2177 0 0"/>
              <a:gd name="G1" fmla="+- 21600 0 0"/>
              <a:gd name="G2" fmla="+- 21600 0 0"/>
              <a:gd name="T0" fmla="*/ 0 w 23777"/>
              <a:gd name="T1" fmla="*/ 110 h 22453"/>
              <a:gd name="T2" fmla="*/ 23760 w 23777"/>
              <a:gd name="T3" fmla="*/ 22453 h 22453"/>
              <a:gd name="T4" fmla="*/ 2177 w 23777"/>
              <a:gd name="T5" fmla="*/ 21600 h 224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777" h="22453" fill="none" extrusionOk="0">
                <a:moveTo>
                  <a:pt x="-1" y="109"/>
                </a:moveTo>
                <a:cubicBezTo>
                  <a:pt x="723" y="36"/>
                  <a:pt x="1449" y="-1"/>
                  <a:pt x="2177" y="0"/>
                </a:cubicBezTo>
                <a:cubicBezTo>
                  <a:pt x="14106" y="0"/>
                  <a:pt x="23777" y="9670"/>
                  <a:pt x="23777" y="21600"/>
                </a:cubicBezTo>
                <a:cubicBezTo>
                  <a:pt x="23777" y="21884"/>
                  <a:pt x="23771" y="22168"/>
                  <a:pt x="23760" y="22453"/>
                </a:cubicBezTo>
              </a:path>
              <a:path w="23777" h="22453" stroke="0" extrusionOk="0">
                <a:moveTo>
                  <a:pt x="-1" y="109"/>
                </a:moveTo>
                <a:cubicBezTo>
                  <a:pt x="723" y="36"/>
                  <a:pt x="1449" y="-1"/>
                  <a:pt x="2177" y="0"/>
                </a:cubicBezTo>
                <a:cubicBezTo>
                  <a:pt x="14106" y="0"/>
                  <a:pt x="23777" y="9670"/>
                  <a:pt x="23777" y="21600"/>
                </a:cubicBezTo>
                <a:cubicBezTo>
                  <a:pt x="23777" y="21884"/>
                  <a:pt x="23771" y="22168"/>
                  <a:pt x="23760" y="22453"/>
                </a:cubicBezTo>
                <a:lnTo>
                  <a:pt x="2177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Bingo" textlink="">
        <xdr:nvSpPr>
          <xdr:cNvPr id="1036" name="Arc 12"/>
          <xdr:cNvSpPr>
            <a:spLocks/>
          </xdr:cNvSpPr>
        </xdr:nvSpPr>
        <xdr:spPr bwMode="auto">
          <a:xfrm rot="2644713" flipH="1">
            <a:off x="339" y="199"/>
            <a:ext cx="41" cy="42"/>
          </a:xfrm>
          <a:custGeom>
            <a:avLst/>
            <a:gdLst>
              <a:gd name="G0" fmla="+- 2411 0 0"/>
              <a:gd name="G1" fmla="+- 21600 0 0"/>
              <a:gd name="G2" fmla="+- 21600 0 0"/>
              <a:gd name="T0" fmla="*/ 0 w 24011"/>
              <a:gd name="T1" fmla="*/ 135 h 23334"/>
              <a:gd name="T2" fmla="*/ 23941 w 24011"/>
              <a:gd name="T3" fmla="*/ 23334 h 23334"/>
              <a:gd name="T4" fmla="*/ 2411 w 24011"/>
              <a:gd name="T5" fmla="*/ 21600 h 233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4011" h="23334" fill="none" extrusionOk="0">
                <a:moveTo>
                  <a:pt x="-1" y="134"/>
                </a:moveTo>
                <a:cubicBezTo>
                  <a:pt x="800" y="45"/>
                  <a:pt x="1605" y="-1"/>
                  <a:pt x="2411" y="0"/>
                </a:cubicBezTo>
                <a:cubicBezTo>
                  <a:pt x="14340" y="0"/>
                  <a:pt x="24011" y="9670"/>
                  <a:pt x="24011" y="21600"/>
                </a:cubicBezTo>
                <a:cubicBezTo>
                  <a:pt x="24011" y="22178"/>
                  <a:pt x="23987" y="22757"/>
                  <a:pt x="23941" y="23334"/>
                </a:cubicBezTo>
              </a:path>
              <a:path w="24011" h="23334" stroke="0" extrusionOk="0">
                <a:moveTo>
                  <a:pt x="-1" y="134"/>
                </a:moveTo>
                <a:cubicBezTo>
                  <a:pt x="800" y="45"/>
                  <a:pt x="1605" y="-1"/>
                  <a:pt x="2411" y="0"/>
                </a:cubicBezTo>
                <a:cubicBezTo>
                  <a:pt x="14340" y="0"/>
                  <a:pt x="24011" y="9670"/>
                  <a:pt x="24011" y="21600"/>
                </a:cubicBezTo>
                <a:cubicBezTo>
                  <a:pt x="24011" y="22178"/>
                  <a:pt x="23987" y="22757"/>
                  <a:pt x="23941" y="23334"/>
                </a:cubicBezTo>
                <a:lnTo>
                  <a:pt x="2411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Bingo" textlink="H8">
        <xdr:nvSpPr>
          <xdr:cNvPr id="1037" name="Rectangle 13"/>
          <xdr:cNvSpPr>
            <a:spLocks noChangeArrowheads="1" noTextEdit="1"/>
          </xdr:cNvSpPr>
        </xdr:nvSpPr>
        <xdr:spPr bwMode="auto">
          <a:xfrm>
            <a:off x="338" y="106"/>
            <a:ext cx="4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fld id="{8936986F-1FD7-43BB-B3AE-D2515C00371F}" type="TxLink">
              <a:rPr lang="es-PE" sz="2400" b="1" cap="none" spc="50">
                <a:ln w="11430"/>
                <a:solidFill>
                  <a:srgbClr val="FFC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pPr algn="ctr"/>
              <a:t> </a:t>
            </a:fld>
            <a:endParaRPr lang="es-PE" sz="2400" b="1" cap="none" spc="50">
              <a:ln w="11430"/>
              <a:solidFill>
                <a:srgbClr val="FFC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[0]!Bingo" textlink="H9">
        <xdr:nvSpPr>
          <xdr:cNvPr id="1038" name="Rectangle 14"/>
          <xdr:cNvSpPr>
            <a:spLocks noChangeArrowheads="1" noTextEdit="1"/>
          </xdr:cNvSpPr>
        </xdr:nvSpPr>
        <xdr:spPr bwMode="auto">
          <a:xfrm>
            <a:off x="313" y="136"/>
            <a:ext cx="96" cy="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fld id="{100C616A-6E43-49A8-9009-2DB77179F80B}" type="TxLink">
              <a:rPr lang="es-PE" sz="3200" b="1" cap="none" spc="50">
                <a:ln w="11430"/>
                <a:solidFill>
                  <a:srgbClr val="FFC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pPr algn="ctr"/>
              <a:t> </a:t>
            </a:fld>
            <a:endParaRPr lang="es-PE" sz="3200" b="1" cap="none" spc="50">
              <a:ln w="11430"/>
              <a:solidFill>
                <a:srgbClr val="FFC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[0]!Bingo" textlink="">
        <xdr:nvSpPr>
          <xdr:cNvPr id="1033" name="Arc 9"/>
          <xdr:cNvSpPr>
            <a:spLocks/>
          </xdr:cNvSpPr>
        </xdr:nvSpPr>
        <xdr:spPr bwMode="auto">
          <a:xfrm rot="-2816458" flipH="1" flipV="1">
            <a:off x="341" y="71"/>
            <a:ext cx="38" cy="41"/>
          </a:xfrm>
          <a:custGeom>
            <a:avLst/>
            <a:gdLst>
              <a:gd name="G0" fmla="+- 0 0 0"/>
              <a:gd name="G1" fmla="+- 21600 0 0"/>
              <a:gd name="G2" fmla="+- 21600 0 0"/>
              <a:gd name="T0" fmla="*/ 0 w 21600"/>
              <a:gd name="T1" fmla="*/ 0 h 23222"/>
              <a:gd name="T2" fmla="*/ 21539 w 21600"/>
              <a:gd name="T3" fmla="*/ 23222 h 23222"/>
              <a:gd name="T4" fmla="*/ 0 w 21600"/>
              <a:gd name="T5" fmla="*/ 21600 h 232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1600" h="23222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cubicBezTo>
                  <a:pt x="21600" y="22141"/>
                  <a:pt x="21579" y="22682"/>
                  <a:pt x="21539" y="23222"/>
                </a:cubicBezTo>
              </a:path>
              <a:path w="21600" h="23222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cubicBezTo>
                  <a:pt x="21600" y="22141"/>
                  <a:pt x="21579" y="22682"/>
                  <a:pt x="21539" y="23222"/>
                </a:cubicBezTo>
                <a:lnTo>
                  <a:pt x="0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</xdr:grpSp>
    <xdr:clientData/>
  </xdr:twoCellAnchor>
  <xdr:twoCellAnchor>
    <xdr:from>
      <xdr:col>1</xdr:col>
      <xdr:colOff>0</xdr:colOff>
      <xdr:row>5</xdr:row>
      <xdr:rowOff>0</xdr:rowOff>
    </xdr:from>
    <xdr:to>
      <xdr:col>6</xdr:col>
      <xdr:colOff>0</xdr:colOff>
      <xdr:row>21</xdr:row>
      <xdr:rowOff>0</xdr:rowOff>
    </xdr:to>
    <xdr:sp macro="" textlink="">
      <xdr:nvSpPr>
        <xdr:cNvPr id="1053" name="Rectangle 29"/>
        <xdr:cNvSpPr>
          <a:spLocks noChangeArrowheads="1"/>
        </xdr:cNvSpPr>
      </xdr:nvSpPr>
      <xdr:spPr bwMode="auto">
        <a:xfrm>
          <a:off x="762000" y="809625"/>
          <a:ext cx="1524000" cy="2647950"/>
        </a:xfrm>
        <a:prstGeom prst="rect">
          <a:avLst/>
        </a:prstGeom>
        <a:noFill/>
        <a:ln w="19050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9</xdr:col>
      <xdr:colOff>0</xdr:colOff>
      <xdr:row>7</xdr:row>
      <xdr:rowOff>0</xdr:rowOff>
    </xdr:from>
    <xdr:to>
      <xdr:col>14</xdr:col>
      <xdr:colOff>0</xdr:colOff>
      <xdr:row>17</xdr:row>
      <xdr:rowOff>0</xdr:rowOff>
    </xdr:to>
    <xdr:sp macro="" textlink="">
      <xdr:nvSpPr>
        <xdr:cNvPr id="1055" name="Rectangle 31"/>
        <xdr:cNvSpPr>
          <a:spLocks noChangeArrowheads="1"/>
        </xdr:cNvSpPr>
      </xdr:nvSpPr>
      <xdr:spPr bwMode="auto">
        <a:xfrm>
          <a:off x="4572000" y="1143000"/>
          <a:ext cx="1571625" cy="166687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xdr:twoCellAnchor>
    <xdr:from>
      <xdr:col>0</xdr:col>
      <xdr:colOff>742950</xdr:colOff>
      <xdr:row>4</xdr:row>
      <xdr:rowOff>142875</xdr:rowOff>
    </xdr:from>
    <xdr:to>
      <xdr:col>6</xdr:col>
      <xdr:colOff>9525</xdr:colOff>
      <xdr:row>21</xdr:row>
      <xdr:rowOff>9525</xdr:rowOff>
    </xdr:to>
    <xdr:sp macro="Tabla1" textlink="">
      <xdr:nvSpPr>
        <xdr:cNvPr id="1056" name="Rectangle 32"/>
        <xdr:cNvSpPr>
          <a:spLocks noChangeArrowheads="1"/>
        </xdr:cNvSpPr>
      </xdr:nvSpPr>
      <xdr:spPr bwMode="auto">
        <a:xfrm>
          <a:off x="742950" y="790575"/>
          <a:ext cx="1552575" cy="2676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304800</xdr:colOff>
          <xdr:row>4</xdr:row>
          <xdr:rowOff>142875</xdr:rowOff>
        </xdr:from>
        <xdr:to>
          <xdr:col>13</xdr:col>
          <xdr:colOff>304800</xdr:colOff>
          <xdr:row>6</xdr:row>
          <xdr:rowOff>19050</xdr:rowOff>
        </xdr:to>
        <xdr:sp macro="" textlink="">
          <xdr:nvSpPr>
            <xdr:cNvPr id="1054" name="Drop Dow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447675</xdr:colOff>
      <xdr:row>6</xdr:row>
      <xdr:rowOff>504825</xdr:rowOff>
    </xdr:from>
    <xdr:to>
      <xdr:col>8</xdr:col>
      <xdr:colOff>485775</xdr:colOff>
      <xdr:row>23</xdr:row>
      <xdr:rowOff>38100</xdr:rowOff>
    </xdr:to>
    <xdr:grpSp>
      <xdr:nvGrpSpPr>
        <xdr:cNvPr id="3086" name="Group 14"/>
        <xdr:cNvGrpSpPr>
          <a:grpSpLocks/>
        </xdr:cNvGrpSpPr>
      </xdr:nvGrpSpPr>
      <xdr:grpSpPr bwMode="auto">
        <a:xfrm>
          <a:off x="2882762" y="3287782"/>
          <a:ext cx="1678056" cy="2034622"/>
          <a:chOff x="181" y="349"/>
          <a:chExt cx="147" cy="168"/>
        </a:xfrm>
      </xdr:grpSpPr>
      <xdr:sp macro="[0]!Tablero" textlink="">
        <xdr:nvSpPr>
          <xdr:cNvPr id="3076" name="Oval 4"/>
          <xdr:cNvSpPr>
            <a:spLocks noChangeArrowheads="1"/>
          </xdr:cNvSpPr>
        </xdr:nvSpPr>
        <xdr:spPr bwMode="auto">
          <a:xfrm>
            <a:off x="185" y="361"/>
            <a:ext cx="138" cy="142"/>
          </a:xfrm>
          <a:prstGeom prst="ellipse">
            <a:avLst/>
          </a:prstGeom>
          <a:gradFill rotWithShape="1">
            <a:gsLst>
              <a:gs pos="0">
                <a:srgbClr val="FF0000"/>
              </a:gs>
              <a:gs pos="100000">
                <a:srgbClr val="FF0000">
                  <a:gamma/>
                  <a:shade val="0"/>
                  <a:invGamma/>
                </a:srgbClr>
              </a:gs>
            </a:gsLst>
            <a:lin ang="2700000" scaled="1"/>
          </a:gradFill>
          <a:ln w="19050">
            <a:solidFill>
              <a:srgbClr val="FFCC00"/>
            </a:solidFill>
            <a:round/>
            <a:headEnd/>
            <a:tailEnd/>
          </a:ln>
          <a:effectLst>
            <a:outerShdw dist="107763" dir="2700000" algn="ctr" rotWithShape="0">
              <a:srgbClr val="808080">
                <a:alpha val="50000"/>
              </a:srgbClr>
            </a:outerShdw>
          </a:effectLst>
        </xdr:spPr>
      </xdr:sp>
      <xdr:sp macro="[0]!Tablero" textlink="">
        <xdr:nvSpPr>
          <xdr:cNvPr id="3077" name="Oval 5"/>
          <xdr:cNvSpPr>
            <a:spLocks noChangeArrowheads="1"/>
          </xdr:cNvSpPr>
        </xdr:nvSpPr>
        <xdr:spPr bwMode="auto">
          <a:xfrm>
            <a:off x="208" y="385"/>
            <a:ext cx="92" cy="94"/>
          </a:xfrm>
          <a:prstGeom prst="ellipse">
            <a:avLst/>
          </a:pr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Tablero" textlink="">
        <xdr:nvSpPr>
          <xdr:cNvPr id="3078" name="Arc 6"/>
          <xdr:cNvSpPr>
            <a:spLocks/>
          </xdr:cNvSpPr>
        </xdr:nvSpPr>
        <xdr:spPr bwMode="auto">
          <a:xfrm rot="21038821" flipV="1">
            <a:off x="182" y="376"/>
            <a:ext cx="40" cy="42"/>
          </a:xfrm>
          <a:custGeom>
            <a:avLst/>
            <a:gdLst>
              <a:gd name="G0" fmla="+- 1810 0 0"/>
              <a:gd name="G1" fmla="+- 21600 0 0"/>
              <a:gd name="G2" fmla="+- 21600 0 0"/>
              <a:gd name="T0" fmla="*/ 0 w 23410"/>
              <a:gd name="T1" fmla="*/ 76 h 23450"/>
              <a:gd name="T2" fmla="*/ 23331 w 23410"/>
              <a:gd name="T3" fmla="*/ 23450 h 23450"/>
              <a:gd name="T4" fmla="*/ 1810 w 23410"/>
              <a:gd name="T5" fmla="*/ 21600 h 2345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410" h="23450" fill="none" extrusionOk="0">
                <a:moveTo>
                  <a:pt x="-1" y="75"/>
                </a:moveTo>
                <a:cubicBezTo>
                  <a:pt x="602" y="25"/>
                  <a:pt x="1205" y="-1"/>
                  <a:pt x="1810" y="0"/>
                </a:cubicBezTo>
                <a:cubicBezTo>
                  <a:pt x="13739" y="0"/>
                  <a:pt x="23410" y="9670"/>
                  <a:pt x="23410" y="21600"/>
                </a:cubicBezTo>
                <a:cubicBezTo>
                  <a:pt x="23410" y="22217"/>
                  <a:pt x="23383" y="22834"/>
                  <a:pt x="23330" y="23449"/>
                </a:cubicBezTo>
              </a:path>
              <a:path w="23410" h="23450" stroke="0" extrusionOk="0">
                <a:moveTo>
                  <a:pt x="-1" y="75"/>
                </a:moveTo>
                <a:cubicBezTo>
                  <a:pt x="602" y="25"/>
                  <a:pt x="1205" y="-1"/>
                  <a:pt x="1810" y="0"/>
                </a:cubicBezTo>
                <a:cubicBezTo>
                  <a:pt x="13739" y="0"/>
                  <a:pt x="23410" y="9670"/>
                  <a:pt x="23410" y="21600"/>
                </a:cubicBezTo>
                <a:cubicBezTo>
                  <a:pt x="23410" y="22217"/>
                  <a:pt x="23383" y="22834"/>
                  <a:pt x="23330" y="23449"/>
                </a:cubicBezTo>
                <a:lnTo>
                  <a:pt x="1810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Tablero" textlink="">
        <xdr:nvSpPr>
          <xdr:cNvPr id="3079" name="Arc 7"/>
          <xdr:cNvSpPr>
            <a:spLocks/>
          </xdr:cNvSpPr>
        </xdr:nvSpPr>
        <xdr:spPr bwMode="auto">
          <a:xfrm rot="760823" flipH="1" flipV="1">
            <a:off x="287" y="378"/>
            <a:ext cx="39" cy="40"/>
          </a:xfrm>
          <a:custGeom>
            <a:avLst/>
            <a:gdLst>
              <a:gd name="G0" fmla="+- 973 0 0"/>
              <a:gd name="G1" fmla="+- 21600 0 0"/>
              <a:gd name="G2" fmla="+- 21600 0 0"/>
              <a:gd name="T0" fmla="*/ 0 w 22573"/>
              <a:gd name="T1" fmla="*/ 22 h 22258"/>
              <a:gd name="T2" fmla="*/ 22563 w 22573"/>
              <a:gd name="T3" fmla="*/ 22258 h 22258"/>
              <a:gd name="T4" fmla="*/ 973 w 22573"/>
              <a:gd name="T5" fmla="*/ 21600 h 22258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2573" h="22258" fill="none" extrusionOk="0">
                <a:moveTo>
                  <a:pt x="-1" y="21"/>
                </a:moveTo>
                <a:cubicBezTo>
                  <a:pt x="324" y="7"/>
                  <a:pt x="648" y="-1"/>
                  <a:pt x="973" y="0"/>
                </a:cubicBezTo>
                <a:cubicBezTo>
                  <a:pt x="12902" y="0"/>
                  <a:pt x="22573" y="9670"/>
                  <a:pt x="22573" y="21600"/>
                </a:cubicBezTo>
                <a:cubicBezTo>
                  <a:pt x="22573" y="21819"/>
                  <a:pt x="22569" y="22038"/>
                  <a:pt x="22562" y="22257"/>
                </a:cubicBezTo>
              </a:path>
              <a:path w="22573" h="22258" stroke="0" extrusionOk="0">
                <a:moveTo>
                  <a:pt x="-1" y="21"/>
                </a:moveTo>
                <a:cubicBezTo>
                  <a:pt x="324" y="7"/>
                  <a:pt x="648" y="-1"/>
                  <a:pt x="973" y="0"/>
                </a:cubicBezTo>
                <a:cubicBezTo>
                  <a:pt x="12902" y="0"/>
                  <a:pt x="22573" y="9670"/>
                  <a:pt x="22573" y="21600"/>
                </a:cubicBezTo>
                <a:cubicBezTo>
                  <a:pt x="22573" y="21819"/>
                  <a:pt x="22569" y="22038"/>
                  <a:pt x="22562" y="22257"/>
                </a:cubicBezTo>
                <a:lnTo>
                  <a:pt x="973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Tablero" textlink="">
        <xdr:nvSpPr>
          <xdr:cNvPr id="3080" name="Arc 8"/>
          <xdr:cNvSpPr>
            <a:spLocks/>
          </xdr:cNvSpPr>
        </xdr:nvSpPr>
        <xdr:spPr bwMode="auto">
          <a:xfrm rot="750969">
            <a:off x="181" y="442"/>
            <a:ext cx="40" cy="44"/>
          </a:xfrm>
          <a:custGeom>
            <a:avLst/>
            <a:gdLst>
              <a:gd name="G0" fmla="+- 1526 0 0"/>
              <a:gd name="G1" fmla="+- 21600 0 0"/>
              <a:gd name="G2" fmla="+- 21600 0 0"/>
              <a:gd name="T0" fmla="*/ 0 w 23126"/>
              <a:gd name="T1" fmla="*/ 54 h 24834"/>
              <a:gd name="T2" fmla="*/ 22883 w 23126"/>
              <a:gd name="T3" fmla="*/ 24834 h 24834"/>
              <a:gd name="T4" fmla="*/ 1526 w 23126"/>
              <a:gd name="T5" fmla="*/ 21600 h 248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126" h="24834" fill="none" extrusionOk="0">
                <a:moveTo>
                  <a:pt x="-1" y="53"/>
                </a:moveTo>
                <a:cubicBezTo>
                  <a:pt x="507" y="18"/>
                  <a:pt x="1016" y="-1"/>
                  <a:pt x="1526" y="0"/>
                </a:cubicBezTo>
                <a:cubicBezTo>
                  <a:pt x="13455" y="0"/>
                  <a:pt x="23126" y="9670"/>
                  <a:pt x="23126" y="21600"/>
                </a:cubicBezTo>
                <a:cubicBezTo>
                  <a:pt x="23126" y="22682"/>
                  <a:pt x="23044" y="23763"/>
                  <a:pt x="22882" y="24833"/>
                </a:cubicBezTo>
              </a:path>
              <a:path w="23126" h="24834" stroke="0" extrusionOk="0">
                <a:moveTo>
                  <a:pt x="-1" y="53"/>
                </a:moveTo>
                <a:cubicBezTo>
                  <a:pt x="507" y="18"/>
                  <a:pt x="1016" y="-1"/>
                  <a:pt x="1526" y="0"/>
                </a:cubicBezTo>
                <a:cubicBezTo>
                  <a:pt x="13455" y="0"/>
                  <a:pt x="23126" y="9670"/>
                  <a:pt x="23126" y="21600"/>
                </a:cubicBezTo>
                <a:cubicBezTo>
                  <a:pt x="23126" y="22682"/>
                  <a:pt x="23044" y="23763"/>
                  <a:pt x="22882" y="24833"/>
                </a:cubicBezTo>
                <a:lnTo>
                  <a:pt x="1526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  <xdr:sp macro="[0]!Tablero" textlink="">
        <xdr:nvSpPr>
          <xdr:cNvPr id="3081" name="Arc 9"/>
          <xdr:cNvSpPr>
            <a:spLocks/>
          </xdr:cNvSpPr>
        </xdr:nvSpPr>
        <xdr:spPr bwMode="auto">
          <a:xfrm rot="20659404" flipH="1">
            <a:off x="287" y="443"/>
            <a:ext cx="41" cy="40"/>
          </a:xfrm>
          <a:custGeom>
            <a:avLst/>
            <a:gdLst>
              <a:gd name="G0" fmla="+- 2177 0 0"/>
              <a:gd name="G1" fmla="+- 21600 0 0"/>
              <a:gd name="G2" fmla="+- 21600 0 0"/>
              <a:gd name="T0" fmla="*/ 0 w 23777"/>
              <a:gd name="T1" fmla="*/ 110 h 22453"/>
              <a:gd name="T2" fmla="*/ 23760 w 23777"/>
              <a:gd name="T3" fmla="*/ 22453 h 22453"/>
              <a:gd name="T4" fmla="*/ 2177 w 23777"/>
              <a:gd name="T5" fmla="*/ 21600 h 22453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3777" h="22453" fill="none" extrusionOk="0">
                <a:moveTo>
                  <a:pt x="-1" y="109"/>
                </a:moveTo>
                <a:cubicBezTo>
                  <a:pt x="723" y="36"/>
                  <a:pt x="1449" y="-1"/>
                  <a:pt x="2177" y="0"/>
                </a:cubicBezTo>
                <a:cubicBezTo>
                  <a:pt x="14106" y="0"/>
                  <a:pt x="23777" y="9670"/>
                  <a:pt x="23777" y="21600"/>
                </a:cubicBezTo>
                <a:cubicBezTo>
                  <a:pt x="23777" y="21884"/>
                  <a:pt x="23771" y="22168"/>
                  <a:pt x="23760" y="22453"/>
                </a:cubicBezTo>
              </a:path>
              <a:path w="23777" h="22453" stroke="0" extrusionOk="0">
                <a:moveTo>
                  <a:pt x="-1" y="109"/>
                </a:moveTo>
                <a:cubicBezTo>
                  <a:pt x="723" y="36"/>
                  <a:pt x="1449" y="-1"/>
                  <a:pt x="2177" y="0"/>
                </a:cubicBezTo>
                <a:cubicBezTo>
                  <a:pt x="14106" y="0"/>
                  <a:pt x="23777" y="9670"/>
                  <a:pt x="23777" y="21600"/>
                </a:cubicBezTo>
                <a:cubicBezTo>
                  <a:pt x="23777" y="21884"/>
                  <a:pt x="23771" y="22168"/>
                  <a:pt x="23760" y="22453"/>
                </a:cubicBezTo>
                <a:lnTo>
                  <a:pt x="2177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Tablero" textlink="">
        <xdr:nvSpPr>
          <xdr:cNvPr id="3082" name="Arc 10"/>
          <xdr:cNvSpPr>
            <a:spLocks/>
          </xdr:cNvSpPr>
        </xdr:nvSpPr>
        <xdr:spPr bwMode="auto">
          <a:xfrm rot="2644713" flipH="1">
            <a:off x="233" y="475"/>
            <a:ext cx="41" cy="42"/>
          </a:xfrm>
          <a:custGeom>
            <a:avLst/>
            <a:gdLst>
              <a:gd name="G0" fmla="+- 2411 0 0"/>
              <a:gd name="G1" fmla="+- 21600 0 0"/>
              <a:gd name="G2" fmla="+- 21600 0 0"/>
              <a:gd name="T0" fmla="*/ 0 w 24011"/>
              <a:gd name="T1" fmla="*/ 135 h 23334"/>
              <a:gd name="T2" fmla="*/ 23941 w 24011"/>
              <a:gd name="T3" fmla="*/ 23334 h 23334"/>
              <a:gd name="T4" fmla="*/ 2411 w 24011"/>
              <a:gd name="T5" fmla="*/ 21600 h 2333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4011" h="23334" fill="none" extrusionOk="0">
                <a:moveTo>
                  <a:pt x="-1" y="134"/>
                </a:moveTo>
                <a:cubicBezTo>
                  <a:pt x="800" y="45"/>
                  <a:pt x="1605" y="-1"/>
                  <a:pt x="2411" y="0"/>
                </a:cubicBezTo>
                <a:cubicBezTo>
                  <a:pt x="14340" y="0"/>
                  <a:pt x="24011" y="9670"/>
                  <a:pt x="24011" y="21600"/>
                </a:cubicBezTo>
                <a:cubicBezTo>
                  <a:pt x="24011" y="22178"/>
                  <a:pt x="23987" y="22757"/>
                  <a:pt x="23941" y="23334"/>
                </a:cubicBezTo>
              </a:path>
              <a:path w="24011" h="23334" stroke="0" extrusionOk="0">
                <a:moveTo>
                  <a:pt x="-1" y="134"/>
                </a:moveTo>
                <a:cubicBezTo>
                  <a:pt x="800" y="45"/>
                  <a:pt x="1605" y="-1"/>
                  <a:pt x="2411" y="0"/>
                </a:cubicBezTo>
                <a:cubicBezTo>
                  <a:pt x="14340" y="0"/>
                  <a:pt x="24011" y="9670"/>
                  <a:pt x="24011" y="21600"/>
                </a:cubicBezTo>
                <a:cubicBezTo>
                  <a:pt x="24011" y="22178"/>
                  <a:pt x="23987" y="22757"/>
                  <a:pt x="23941" y="23334"/>
                </a:cubicBezTo>
                <a:lnTo>
                  <a:pt x="2411" y="21600"/>
                </a:lnTo>
                <a:close/>
              </a:path>
            </a:pathLst>
          </a:custGeom>
          <a:noFill/>
          <a:ln w="28575">
            <a:solidFill>
              <a:srgbClr val="FF9900"/>
            </a:solidFill>
            <a:round/>
            <a:headEnd/>
            <a:tailEnd/>
          </a:ln>
        </xdr:spPr>
      </xdr:sp>
      <xdr:sp macro="[0]!Tablero" textlink="$H$16">
        <xdr:nvSpPr>
          <xdr:cNvPr id="3083" name="Rectangle 11"/>
          <xdr:cNvSpPr>
            <a:spLocks noChangeArrowheads="1" noTextEdit="1"/>
          </xdr:cNvSpPr>
        </xdr:nvSpPr>
        <xdr:spPr bwMode="auto">
          <a:xfrm>
            <a:off x="233" y="380"/>
            <a:ext cx="44" cy="3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fld id="{CA56A1AF-BC40-4796-B3C8-58204A71F401}" type="TxLink">
              <a:rPr lang="es-PE" sz="3600" b="1" cap="none" spc="50">
                <a:ln w="11430"/>
                <a:solidFill>
                  <a:srgbClr val="FFC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pPr algn="ctr"/>
              <a:t> </a:t>
            </a:fld>
            <a:endParaRPr lang="es-PE" sz="3600" b="1" cap="none" spc="50">
              <a:ln w="11430"/>
              <a:solidFill>
                <a:srgbClr val="FFC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[0]!Tablero" textlink="$H$17">
        <xdr:nvSpPr>
          <xdr:cNvPr id="3084" name="Rectangle 12"/>
          <xdr:cNvSpPr>
            <a:spLocks noChangeArrowheads="1" noTextEdit="1"/>
          </xdr:cNvSpPr>
        </xdr:nvSpPr>
        <xdr:spPr bwMode="auto">
          <a:xfrm>
            <a:off x="206" y="414"/>
            <a:ext cx="96" cy="59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>
            <a:scene3d>
              <a:camera prst="orthographicFront"/>
              <a:lightRig rig="soft" dir="tl">
                <a:rot lat="0" lon="0" rev="0"/>
              </a:lightRig>
            </a:scene3d>
            <a:sp3d contourW="25400" prstMaterial="matte">
              <a:bevelT w="25400" h="55880" prst="artDeco"/>
              <a:contourClr>
                <a:schemeClr val="accent2">
                  <a:tint val="20000"/>
                </a:schemeClr>
              </a:contourClr>
            </a:sp3d>
          </a:bodyPr>
          <a:lstStyle/>
          <a:p>
            <a:pPr algn="ctr"/>
            <a:fld id="{B875BFF8-12BC-413F-BD7A-7E83155634DC}" type="TxLink">
              <a:rPr lang="es-PE" sz="4000" b="1" cap="none" spc="50">
                <a:ln w="11430"/>
                <a:solidFill>
                  <a:srgbClr val="FFC000"/>
                </a:solidFill>
                <a:effectLst>
                  <a:outerShdw blurRad="76200" dist="50800" dir="5400000" algn="tl" rotWithShape="0">
                    <a:srgbClr val="000000">
                      <a:alpha val="65000"/>
                    </a:srgbClr>
                  </a:outerShdw>
                </a:effectLst>
              </a:rPr>
              <a:pPr algn="ctr"/>
              <a:t> </a:t>
            </a:fld>
            <a:endParaRPr lang="es-PE" sz="4000" b="1" cap="none" spc="50">
              <a:ln w="11430"/>
              <a:solidFill>
                <a:srgbClr val="FFC000"/>
              </a:soli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endParaRPr>
          </a:p>
        </xdr:txBody>
      </xdr:sp>
      <xdr:sp macro="[0]!Tablero" textlink="">
        <xdr:nvSpPr>
          <xdr:cNvPr id="3085" name="Arc 13"/>
          <xdr:cNvSpPr>
            <a:spLocks/>
          </xdr:cNvSpPr>
        </xdr:nvSpPr>
        <xdr:spPr bwMode="auto">
          <a:xfrm rot="-2816458" flipH="1" flipV="1">
            <a:off x="235" y="347"/>
            <a:ext cx="38" cy="41"/>
          </a:xfrm>
          <a:custGeom>
            <a:avLst/>
            <a:gdLst>
              <a:gd name="G0" fmla="+- 0 0 0"/>
              <a:gd name="G1" fmla="+- 21600 0 0"/>
              <a:gd name="G2" fmla="+- 21600 0 0"/>
              <a:gd name="T0" fmla="*/ 0 w 21600"/>
              <a:gd name="T1" fmla="*/ 0 h 23222"/>
              <a:gd name="T2" fmla="*/ 21539 w 21600"/>
              <a:gd name="T3" fmla="*/ 23222 h 23222"/>
              <a:gd name="T4" fmla="*/ 0 w 21600"/>
              <a:gd name="T5" fmla="*/ 21600 h 232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</a:cxnLst>
            <a:rect l="0" t="0" r="r" b="b"/>
            <a:pathLst>
              <a:path w="21600" h="23222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cubicBezTo>
                  <a:pt x="21600" y="22141"/>
                  <a:pt x="21579" y="22682"/>
                  <a:pt x="21539" y="23222"/>
                </a:cubicBezTo>
              </a:path>
              <a:path w="21600" h="23222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cubicBezTo>
                  <a:pt x="21600" y="22141"/>
                  <a:pt x="21579" y="22682"/>
                  <a:pt x="21539" y="23222"/>
                </a:cubicBezTo>
                <a:lnTo>
                  <a:pt x="0" y="21600"/>
                </a:lnTo>
                <a:close/>
              </a:path>
            </a:pathLst>
          </a:custGeom>
          <a:noFill/>
          <a:ln w="28575">
            <a:solidFill>
              <a:srgbClr val="FFCC00"/>
            </a:solidFill>
            <a:round/>
            <a:headEnd/>
            <a:tailEnd/>
          </a:ln>
        </xdr:spPr>
      </xdr:sp>
    </xdr:grpSp>
    <xdr:clientData/>
  </xdr:twoCellAnchor>
  <xdr:twoCellAnchor>
    <xdr:from>
      <xdr:col>11</xdr:col>
      <xdr:colOff>0</xdr:colOff>
      <xdr:row>15</xdr:row>
      <xdr:rowOff>0</xdr:rowOff>
    </xdr:from>
    <xdr:to>
      <xdr:col>12</xdr:col>
      <xdr:colOff>0</xdr:colOff>
      <xdr:row>18</xdr:row>
      <xdr:rowOff>0</xdr:rowOff>
    </xdr:to>
    <xdr:sp macro="" textlink="">
      <xdr:nvSpPr>
        <xdr:cNvPr id="3087" name="Rectangle 15"/>
        <xdr:cNvSpPr>
          <a:spLocks noChangeArrowheads="1"/>
        </xdr:cNvSpPr>
      </xdr:nvSpPr>
      <xdr:spPr bwMode="auto">
        <a:xfrm>
          <a:off x="5676900" y="3857625"/>
          <a:ext cx="542925" cy="485775"/>
        </a:xfrm>
        <a:prstGeom prst="rect">
          <a:avLst/>
        </a:prstGeom>
        <a:noFill/>
        <a:ln w="57150" cmpd="thinThick">
          <a:solidFill>
            <a:srgbClr val="993300"/>
          </a:solidFill>
          <a:miter lim="800000"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7</xdr:row>
          <xdr:rowOff>104775</xdr:rowOff>
        </xdr:from>
        <xdr:to>
          <xdr:col>16</xdr:col>
          <xdr:colOff>371475</xdr:colOff>
          <xdr:row>21</xdr:row>
          <xdr:rowOff>76200</xdr:rowOff>
        </xdr:to>
        <xdr:pic>
          <xdr:nvPicPr>
            <xdr:cNvPr id="3088" name="Picture 16"/>
            <xdr:cNvPicPr>
              <a:picLocks noChangeAspect="1" noChangeArrowheads="1"/>
              <a:extLst>
                <a:ext uri="{84589F7E-364E-4C9E-8A38-B11213B215E9}">
                  <a14:cameraTool cellRange="Bingo!$J$8:$N$17" spid="_x0000_s309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353300" y="3476625"/>
              <a:ext cx="1409700" cy="14954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  <a:effectLst>
              <a:outerShdw dist="107763" dir="2700000" algn="ctr" rotWithShape="0">
                <a:srgbClr val="808080">
                  <a:alpha val="50000"/>
                </a:srgbClr>
              </a:outerShdw>
            </a:effec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266700</xdr:colOff>
      <xdr:row>2</xdr:row>
      <xdr:rowOff>85725</xdr:rowOff>
    </xdr:from>
    <xdr:to>
      <xdr:col>20</xdr:col>
      <xdr:colOff>247650</xdr:colOff>
      <xdr:row>4</xdr:row>
      <xdr:rowOff>409575</xdr:rowOff>
    </xdr:to>
    <xdr:sp macro="[0]!Tarjeta" textlink="">
      <xdr:nvSpPr>
        <xdr:cNvPr id="2049" name="Oval 1"/>
        <xdr:cNvSpPr>
          <a:spLocks noChangeArrowheads="1"/>
        </xdr:cNvSpPr>
      </xdr:nvSpPr>
      <xdr:spPr bwMode="auto">
        <a:xfrm>
          <a:off x="7886700" y="409575"/>
          <a:ext cx="1524000" cy="638175"/>
        </a:xfrm>
        <a:prstGeom prst="ellipse">
          <a:avLst/>
        </a:prstGeom>
        <a:gradFill rotWithShape="1">
          <a:gsLst>
            <a:gs pos="0">
              <a:srgbClr val="FFFF00"/>
            </a:gs>
            <a:gs pos="100000">
              <a:srgbClr val="FFFF00">
                <a:gamma/>
                <a:shade val="46275"/>
                <a:invGamma/>
              </a:srgbClr>
            </a:gs>
          </a:gsLst>
          <a:lin ang="2700000" scaled="1"/>
        </a:gradFill>
        <a:ln w="9525">
          <a:solidFill>
            <a:srgbClr val="000000"/>
          </a:solidFill>
          <a:round/>
          <a:headEnd/>
          <a:tailEnd/>
        </a:ln>
        <a:effectLst>
          <a:outerShdw dist="107763" dir="2700000" algn="ctr" rotWithShape="0">
            <a:srgbClr val="808080">
              <a:alpha val="50000"/>
            </a:srgbClr>
          </a:outerShdw>
        </a:effectLst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PE" sz="1400" b="1" i="0" strike="noStrike">
              <a:solidFill>
                <a:srgbClr val="000000"/>
              </a:solidFill>
              <a:latin typeface="Arial"/>
              <a:cs typeface="Arial"/>
            </a:rPr>
            <a:t>Nuevos Cartones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tabColor indexed="51"/>
  </sheetPr>
  <dimension ref="B2:X78"/>
  <sheetViews>
    <sheetView showGridLines="0" tabSelected="1" zoomScale="130" zoomScaleNormal="130" workbookViewId="0"/>
  </sheetViews>
  <sheetFormatPr baseColWidth="10" defaultRowHeight="12.75" x14ac:dyDescent="0.2"/>
  <cols>
    <col min="2" max="6" width="4.5703125" customWidth="1"/>
    <col min="10" max="14" width="4.7109375" customWidth="1"/>
    <col min="16" max="18" width="6.140625" customWidth="1"/>
    <col min="19" max="19" width="11.5703125" customWidth="1"/>
    <col min="20" max="24" width="4.5703125" hidden="1" customWidth="1"/>
  </cols>
  <sheetData>
    <row r="2" spans="2:24" x14ac:dyDescent="0.2">
      <c r="P2" s="3" t="s">
        <v>5</v>
      </c>
      <c r="R2" s="9" t="s">
        <v>8</v>
      </c>
      <c r="S2" s="8" t="str">
        <f>IF(FF=17,"Apagon","Letra"&amp;RIGHT(VLOOKUP(FF,Figuras,2,0),1))</f>
        <v>LetraO</v>
      </c>
    </row>
    <row r="3" spans="2:24" x14ac:dyDescent="0.2">
      <c r="J3" t="s">
        <v>28</v>
      </c>
      <c r="P3" s="2"/>
      <c r="Q3" s="6"/>
      <c r="R3" s="6"/>
    </row>
    <row r="4" spans="2:24" x14ac:dyDescent="0.2">
      <c r="J4" t="s">
        <v>27</v>
      </c>
      <c r="P4" s="2"/>
      <c r="Q4" s="6"/>
      <c r="R4" s="2">
        <v>1</v>
      </c>
      <c r="S4" s="8" t="s">
        <v>9</v>
      </c>
    </row>
    <row r="5" spans="2:24" x14ac:dyDescent="0.2">
      <c r="B5" s="4">
        <v>1</v>
      </c>
      <c r="C5" s="4">
        <v>16</v>
      </c>
      <c r="D5" s="4">
        <v>31</v>
      </c>
      <c r="E5" s="4">
        <v>46</v>
      </c>
      <c r="F5" s="4">
        <v>61</v>
      </c>
      <c r="P5" s="2"/>
      <c r="Q5" s="6"/>
      <c r="R5" s="2">
        <v>2</v>
      </c>
      <c r="S5" s="8" t="s">
        <v>10</v>
      </c>
      <c r="T5" s="7">
        <f t="array" ref="T5">SUM(IF(Bolo=Bolos,1))</f>
        <v>76</v>
      </c>
    </row>
    <row r="6" spans="2:24" x14ac:dyDescent="0.2">
      <c r="B6" s="5" t="s">
        <v>0</v>
      </c>
      <c r="C6" s="5" t="s">
        <v>1</v>
      </c>
      <c r="D6" s="5" t="s">
        <v>2</v>
      </c>
      <c r="E6" s="5" t="s">
        <v>3</v>
      </c>
      <c r="F6" s="5" t="s">
        <v>4</v>
      </c>
      <c r="J6" t="s">
        <v>7</v>
      </c>
      <c r="M6">
        <v>9</v>
      </c>
      <c r="P6" s="2"/>
      <c r="Q6" s="6"/>
      <c r="R6" s="2">
        <v>3</v>
      </c>
      <c r="S6" s="8" t="s">
        <v>11</v>
      </c>
    </row>
    <row r="7" spans="2:24" ht="13.5" thickBot="1" x14ac:dyDescent="0.25">
      <c r="B7" s="2">
        <v>1</v>
      </c>
      <c r="C7" s="2">
        <v>16</v>
      </c>
      <c r="D7" s="2">
        <v>31</v>
      </c>
      <c r="E7" s="2">
        <v>46</v>
      </c>
      <c r="F7" s="2">
        <v>61</v>
      </c>
      <c r="P7" s="2"/>
      <c r="Q7" s="6"/>
      <c r="R7" s="2">
        <v>4</v>
      </c>
      <c r="S7" s="8" t="s">
        <v>12</v>
      </c>
      <c r="T7" s="7">
        <f t="array" ref="T7">SUM(IF(B7=Bolos,1))</f>
        <v>0</v>
      </c>
      <c r="U7" s="2">
        <f t="array" ref="U7">SUM(IF(C7=Bolos,1))</f>
        <v>0</v>
      </c>
      <c r="V7" s="2">
        <f t="array" ref="V7">SUM(IF(D7=Bolos,1))</f>
        <v>0</v>
      </c>
      <c r="W7" s="2">
        <f t="array" ref="W7">SUM(IF(E7=Bolos,1))</f>
        <v>0</v>
      </c>
      <c r="X7" s="2">
        <f t="array" ref="X7">SUM(IF(F7=Bolos,1))</f>
        <v>0</v>
      </c>
    </row>
    <row r="8" spans="2:24" x14ac:dyDescent="0.2">
      <c r="B8" s="2">
        <v>2</v>
      </c>
      <c r="C8" s="2">
        <v>17</v>
      </c>
      <c r="D8" s="2">
        <v>32</v>
      </c>
      <c r="E8" s="2">
        <v>47</v>
      </c>
      <c r="F8" s="2">
        <v>62</v>
      </c>
      <c r="H8" s="1" t="str">
        <f>IF(ISBLANK(H9),"",HLOOKUP(H9,B5:F6,2))</f>
        <v/>
      </c>
      <c r="J8" s="36"/>
      <c r="K8" s="36"/>
      <c r="L8" s="36"/>
      <c r="M8" s="36"/>
      <c r="N8" s="36"/>
      <c r="P8" s="2"/>
      <c r="Q8" s="6"/>
      <c r="R8" s="2">
        <v>5</v>
      </c>
      <c r="S8" s="8" t="s">
        <v>13</v>
      </c>
      <c r="T8" s="7">
        <f t="array" ref="T8">SUM(IF(B8=Bolos,1))</f>
        <v>0</v>
      </c>
      <c r="U8" s="2">
        <f t="array" ref="U8">SUM(IF(C8=Bolos,1))</f>
        <v>0</v>
      </c>
      <c r="V8" s="2">
        <f t="array" ref="V8">SUM(IF(D8=Bolos,1))</f>
        <v>0</v>
      </c>
      <c r="W8" s="2">
        <f t="array" ref="W8">SUM(IF(E8=Bolos,1))</f>
        <v>0</v>
      </c>
      <c r="X8" s="2">
        <f t="array" ref="X8">SUM(IF(F8=Bolos,1))</f>
        <v>0</v>
      </c>
    </row>
    <row r="9" spans="2:24" ht="13.5" thickBot="1" x14ac:dyDescent="0.25">
      <c r="B9" s="2">
        <v>3</v>
      </c>
      <c r="C9" s="2">
        <v>18</v>
      </c>
      <c r="D9" s="2">
        <v>33</v>
      </c>
      <c r="E9" s="2">
        <v>48</v>
      </c>
      <c r="F9" s="2">
        <v>63</v>
      </c>
      <c r="H9" s="28"/>
      <c r="J9" s="37"/>
      <c r="K9" s="37"/>
      <c r="L9" s="37"/>
      <c r="M9" s="37"/>
      <c r="N9" s="37"/>
      <c r="P9" s="2"/>
      <c r="Q9" s="6"/>
      <c r="R9" s="2">
        <v>6</v>
      </c>
      <c r="S9" s="8" t="s">
        <v>14</v>
      </c>
      <c r="T9" s="7">
        <f t="array" ref="T9">SUM(IF(B9=Bolos,1))</f>
        <v>0</v>
      </c>
      <c r="U9" s="2">
        <f t="array" ref="U9">SUM(IF(C9=Bolos,1))</f>
        <v>0</v>
      </c>
      <c r="V9" s="2">
        <f t="array" ref="V9">SUM(IF(D9=Bolos,1))</f>
        <v>0</v>
      </c>
      <c r="W9" s="2">
        <f t="array" ref="W9">SUM(IF(E9=Bolos,1))</f>
        <v>0</v>
      </c>
      <c r="X9" s="2">
        <f t="array" ref="X9">SUM(IF(F9=Bolos,1))</f>
        <v>0</v>
      </c>
    </row>
    <row r="10" spans="2:24" x14ac:dyDescent="0.2">
      <c r="B10" s="2">
        <v>4</v>
      </c>
      <c r="C10" s="2">
        <v>19</v>
      </c>
      <c r="D10" s="2">
        <v>34</v>
      </c>
      <c r="E10" s="2">
        <v>49</v>
      </c>
      <c r="F10" s="2">
        <v>64</v>
      </c>
      <c r="H10" s="1" t="str">
        <f>IF(COUNT(Bolos)=0,"Z&amp;Z",H8&amp;"·"&amp;H9)</f>
        <v>Z&amp;Z</v>
      </c>
      <c r="J10" s="36"/>
      <c r="K10" s="36"/>
      <c r="L10" s="36"/>
      <c r="M10" s="36"/>
      <c r="N10" s="36"/>
      <c r="P10" s="2"/>
      <c r="Q10" s="6"/>
      <c r="R10" s="2">
        <v>7</v>
      </c>
      <c r="S10" s="8" t="s">
        <v>15</v>
      </c>
      <c r="T10" s="7">
        <f t="array" ref="T10">SUM(IF(B10=Bolos,1))</f>
        <v>0</v>
      </c>
      <c r="U10" s="2">
        <f t="array" ref="U10">SUM(IF(C10=Bolos,1))</f>
        <v>0</v>
      </c>
      <c r="V10" s="2">
        <f t="array" ref="V10">SUM(IF(D10=Bolos,1))</f>
        <v>0</v>
      </c>
      <c r="W10" s="2">
        <f t="array" ref="W10">SUM(IF(E10=Bolos,1))</f>
        <v>0</v>
      </c>
      <c r="X10" s="2">
        <f t="array" ref="X10">SUM(IF(F10=Bolos,1))</f>
        <v>0</v>
      </c>
    </row>
    <row r="11" spans="2:24" ht="13.5" thickBot="1" x14ac:dyDescent="0.25">
      <c r="B11" s="2">
        <v>5</v>
      </c>
      <c r="C11" s="2">
        <v>20</v>
      </c>
      <c r="D11" s="2">
        <v>35</v>
      </c>
      <c r="E11" s="2">
        <v>50</v>
      </c>
      <c r="F11" s="2">
        <v>65</v>
      </c>
      <c r="J11" s="37"/>
      <c r="K11" s="37"/>
      <c r="L11" s="37"/>
      <c r="M11" s="37"/>
      <c r="N11" s="37"/>
      <c r="P11" s="2"/>
      <c r="Q11" s="6"/>
      <c r="R11" s="2">
        <v>8</v>
      </c>
      <c r="S11" s="8" t="s">
        <v>16</v>
      </c>
      <c r="T11" s="7">
        <f t="array" ref="T11">SUM(IF(B11=Bolos,1))</f>
        <v>0</v>
      </c>
      <c r="U11" s="2">
        <f t="array" ref="U11">SUM(IF(C11=Bolos,1))</f>
        <v>0</v>
      </c>
      <c r="V11" s="2">
        <f t="array" ref="V11">SUM(IF(D11=Bolos,1))</f>
        <v>0</v>
      </c>
      <c r="W11" s="2">
        <f t="array" ref="W11">SUM(IF(E11=Bolos,1))</f>
        <v>0</v>
      </c>
      <c r="X11" s="2">
        <f t="array" ref="X11">SUM(IF(F11=Bolos,1))</f>
        <v>0</v>
      </c>
    </row>
    <row r="12" spans="2:24" x14ac:dyDescent="0.2">
      <c r="B12" s="2">
        <v>6</v>
      </c>
      <c r="C12" s="2">
        <v>21</v>
      </c>
      <c r="D12" s="2">
        <v>36</v>
      </c>
      <c r="E12" s="2">
        <v>51</v>
      </c>
      <c r="F12" s="2">
        <v>66</v>
      </c>
      <c r="J12" s="36"/>
      <c r="K12" s="36"/>
      <c r="L12" s="38" t="s">
        <v>25</v>
      </c>
      <c r="M12" s="36"/>
      <c r="N12" s="36"/>
      <c r="P12" s="2"/>
      <c r="Q12" s="6"/>
      <c r="R12" s="2">
        <v>9</v>
      </c>
      <c r="S12" s="8" t="s">
        <v>17</v>
      </c>
      <c r="T12" s="7">
        <f t="array" ref="T12">SUM(IF(B12=Bolos,1))</f>
        <v>0</v>
      </c>
      <c r="U12" s="2">
        <f t="array" ref="U12">SUM(IF(C12=Bolos,1))</f>
        <v>0</v>
      </c>
      <c r="V12" s="2">
        <f t="array" ref="V12">SUM(IF(D12=Bolos,1))</f>
        <v>0</v>
      </c>
      <c r="W12" s="2">
        <f t="array" ref="W12">SUM(IF(E12=Bolos,1))</f>
        <v>0</v>
      </c>
      <c r="X12" s="2">
        <f t="array" ref="X12">SUM(IF(F12=Bolos,1))</f>
        <v>0</v>
      </c>
    </row>
    <row r="13" spans="2:24" ht="13.5" thickBot="1" x14ac:dyDescent="0.25">
      <c r="B13" s="2">
        <v>7</v>
      </c>
      <c r="C13" s="2">
        <v>22</v>
      </c>
      <c r="D13" s="2">
        <v>37</v>
      </c>
      <c r="E13" s="2">
        <v>52</v>
      </c>
      <c r="F13" s="2">
        <v>67</v>
      </c>
      <c r="J13" s="37"/>
      <c r="K13" s="37"/>
      <c r="L13" s="39"/>
      <c r="M13" s="37"/>
      <c r="N13" s="37"/>
      <c r="P13" s="2"/>
      <c r="Q13" s="6"/>
      <c r="R13" s="2">
        <v>10</v>
      </c>
      <c r="S13" s="8" t="s">
        <v>18</v>
      </c>
      <c r="T13" s="7">
        <f t="array" ref="T13">SUM(IF(B13=Bolos,1))</f>
        <v>0</v>
      </c>
      <c r="U13" s="2">
        <f t="array" ref="U13">SUM(IF(C13=Bolos,1))</f>
        <v>0</v>
      </c>
      <c r="V13" s="2">
        <f t="array" ref="V13">SUM(IF(D13=Bolos,1))</f>
        <v>0</v>
      </c>
      <c r="W13" s="2">
        <f t="array" ref="W13">SUM(IF(E13=Bolos,1))</f>
        <v>0</v>
      </c>
      <c r="X13" s="2">
        <f t="array" ref="X13">SUM(IF(F13=Bolos,1))</f>
        <v>0</v>
      </c>
    </row>
    <row r="14" spans="2:24" x14ac:dyDescent="0.2">
      <c r="B14" s="2">
        <v>8</v>
      </c>
      <c r="C14" s="2">
        <v>23</v>
      </c>
      <c r="D14" s="2">
        <v>38</v>
      </c>
      <c r="E14" s="2">
        <v>53</v>
      </c>
      <c r="F14" s="2">
        <v>68</v>
      </c>
      <c r="J14" s="36"/>
      <c r="K14" s="36"/>
      <c r="L14" s="36"/>
      <c r="M14" s="36"/>
      <c r="N14" s="36"/>
      <c r="P14" s="2"/>
      <c r="Q14" s="6"/>
      <c r="R14" s="2">
        <v>11</v>
      </c>
      <c r="S14" s="8" t="s">
        <v>19</v>
      </c>
      <c r="T14" s="7">
        <f t="array" ref="T14">SUM(IF(B14=Bolos,1))</f>
        <v>0</v>
      </c>
      <c r="U14" s="2">
        <f t="array" ref="U14">SUM(IF(C14=Bolos,1))</f>
        <v>0</v>
      </c>
      <c r="V14" s="2">
        <f t="array" ref="V14">SUM(IF(D14=Bolos,1))</f>
        <v>0</v>
      </c>
      <c r="W14" s="2">
        <f t="array" ref="W14">SUM(IF(E14=Bolos,1))</f>
        <v>0</v>
      </c>
      <c r="X14" s="2">
        <f t="array" ref="X14">SUM(IF(F14=Bolos,1))</f>
        <v>0</v>
      </c>
    </row>
    <row r="15" spans="2:24" ht="13.5" thickBot="1" x14ac:dyDescent="0.25">
      <c r="B15" s="2">
        <v>9</v>
      </c>
      <c r="C15" s="2">
        <v>24</v>
      </c>
      <c r="D15" s="2">
        <v>39</v>
      </c>
      <c r="E15" s="2">
        <v>54</v>
      </c>
      <c r="F15" s="2">
        <v>69</v>
      </c>
      <c r="J15" s="37"/>
      <c r="K15" s="37"/>
      <c r="L15" s="37"/>
      <c r="M15" s="37"/>
      <c r="N15" s="37"/>
      <c r="P15" s="2"/>
      <c r="Q15" s="6"/>
      <c r="R15" s="2">
        <v>12</v>
      </c>
      <c r="S15" s="8" t="s">
        <v>20</v>
      </c>
      <c r="T15" s="7">
        <f t="array" ref="T15">SUM(IF(B15=Bolos,1))</f>
        <v>0</v>
      </c>
      <c r="U15" s="2">
        <f t="array" ref="U15">SUM(IF(C15=Bolos,1))</f>
        <v>0</v>
      </c>
      <c r="V15" s="2">
        <f t="array" ref="V15">SUM(IF(D15=Bolos,1))</f>
        <v>0</v>
      </c>
      <c r="W15" s="2">
        <f t="array" ref="W15">SUM(IF(E15=Bolos,1))</f>
        <v>0</v>
      </c>
      <c r="X15" s="2">
        <f t="array" ref="X15">SUM(IF(F15=Bolos,1))</f>
        <v>0</v>
      </c>
    </row>
    <row r="16" spans="2:24" x14ac:dyDescent="0.2">
      <c r="B16" s="2">
        <v>10</v>
      </c>
      <c r="C16" s="2">
        <v>25</v>
      </c>
      <c r="D16" s="2">
        <v>40</v>
      </c>
      <c r="E16" s="2">
        <v>55</v>
      </c>
      <c r="F16" s="2">
        <v>70</v>
      </c>
      <c r="H16" s="42">
        <f>COUNT(Bolos)</f>
        <v>0</v>
      </c>
      <c r="J16" s="36"/>
      <c r="K16" s="36"/>
      <c r="L16" s="36"/>
      <c r="M16" s="36"/>
      <c r="N16" s="36"/>
      <c r="P16" s="2"/>
      <c r="Q16" s="6"/>
      <c r="R16" s="2">
        <v>13</v>
      </c>
      <c r="S16" s="8" t="s">
        <v>21</v>
      </c>
      <c r="T16" s="7">
        <f t="array" ref="T16">SUM(IF(B16=Bolos,1))</f>
        <v>0</v>
      </c>
      <c r="U16" s="2">
        <f t="array" ref="U16">SUM(IF(C16=Bolos,1))</f>
        <v>0</v>
      </c>
      <c r="V16" s="2">
        <f t="array" ref="V16">SUM(IF(D16=Bolos,1))</f>
        <v>0</v>
      </c>
      <c r="W16" s="2">
        <f t="array" ref="W16">SUM(IF(E16=Bolos,1))</f>
        <v>0</v>
      </c>
      <c r="X16" s="2">
        <f t="array" ref="X16">SUM(IF(F16=Bolos,1))</f>
        <v>0</v>
      </c>
    </row>
    <row r="17" spans="2:24" ht="13.5" thickBot="1" x14ac:dyDescent="0.25">
      <c r="B17" s="2">
        <v>11</v>
      </c>
      <c r="C17" s="2">
        <v>26</v>
      </c>
      <c r="D17" s="2">
        <v>41</v>
      </c>
      <c r="E17" s="2">
        <v>56</v>
      </c>
      <c r="F17" s="2">
        <v>71</v>
      </c>
      <c r="H17" s="42"/>
      <c r="J17" s="37"/>
      <c r="K17" s="37"/>
      <c r="L17" s="37"/>
      <c r="M17" s="37"/>
      <c r="N17" s="37"/>
      <c r="P17" s="2"/>
      <c r="Q17" s="6"/>
      <c r="R17" s="2">
        <v>14</v>
      </c>
      <c r="S17" s="8" t="s">
        <v>23</v>
      </c>
      <c r="T17" s="7">
        <f t="array" ref="T17">SUM(IF(B17=Bolos,1))</f>
        <v>0</v>
      </c>
      <c r="U17" s="2">
        <f t="array" ref="U17">SUM(IF(C17=Bolos,1))</f>
        <v>0</v>
      </c>
      <c r="V17" s="2">
        <f t="array" ref="V17">SUM(IF(D17=Bolos,1))</f>
        <v>0</v>
      </c>
      <c r="W17" s="2">
        <f t="array" ref="W17">SUM(IF(E17=Bolos,1))</f>
        <v>0</v>
      </c>
      <c r="X17" s="2">
        <f t="array" ref="X17">SUM(IF(F17=Bolos,1))</f>
        <v>0</v>
      </c>
    </row>
    <row r="18" spans="2:24" x14ac:dyDescent="0.2">
      <c r="B18" s="2">
        <v>12</v>
      </c>
      <c r="C18" s="2">
        <v>27</v>
      </c>
      <c r="D18" s="2">
        <v>42</v>
      </c>
      <c r="E18" s="2">
        <v>57</v>
      </c>
      <c r="F18" s="2">
        <v>72</v>
      </c>
      <c r="H18" s="42"/>
      <c r="P18" s="2"/>
      <c r="Q18" s="6"/>
      <c r="R18" s="2">
        <v>15</v>
      </c>
      <c r="S18" s="8" t="s">
        <v>22</v>
      </c>
      <c r="T18" s="7">
        <f t="array" ref="T18">SUM(IF(B18=Bolos,1))</f>
        <v>0</v>
      </c>
      <c r="U18" s="2">
        <f t="array" ref="U18">SUM(IF(C18=Bolos,1))</f>
        <v>0</v>
      </c>
      <c r="V18" s="2">
        <f t="array" ref="V18">SUM(IF(D18=Bolos,1))</f>
        <v>0</v>
      </c>
      <c r="W18" s="2">
        <f t="array" ref="W18">SUM(IF(E18=Bolos,1))</f>
        <v>0</v>
      </c>
      <c r="X18" s="2">
        <f t="array" ref="X18">SUM(IF(F18=Bolos,1))</f>
        <v>0</v>
      </c>
    </row>
    <row r="19" spans="2:24" x14ac:dyDescent="0.2">
      <c r="B19" s="2">
        <v>13</v>
      </c>
      <c r="C19" s="2">
        <v>28</v>
      </c>
      <c r="D19" s="2">
        <v>43</v>
      </c>
      <c r="E19" s="2">
        <v>58</v>
      </c>
      <c r="F19" s="2">
        <v>73</v>
      </c>
      <c r="P19" s="2"/>
      <c r="Q19" s="6"/>
      <c r="R19" s="2">
        <v>16</v>
      </c>
      <c r="S19" s="8" t="s">
        <v>24</v>
      </c>
      <c r="T19" s="7">
        <f t="array" ref="T19">SUM(IF(B19=Bolos,1))</f>
        <v>0</v>
      </c>
      <c r="U19" s="2">
        <f t="array" ref="U19">SUM(IF(C19=Bolos,1))</f>
        <v>0</v>
      </c>
      <c r="V19" s="2">
        <f t="array" ref="V19">SUM(IF(D19=Bolos,1))</f>
        <v>0</v>
      </c>
      <c r="W19" s="2">
        <f t="array" ref="W19">SUM(IF(E19=Bolos,1))</f>
        <v>0</v>
      </c>
      <c r="X19" s="2">
        <f t="array" ref="X19">SUM(IF(F19=Bolos,1))</f>
        <v>0</v>
      </c>
    </row>
    <row r="20" spans="2:24" ht="12.75" customHeight="1" x14ac:dyDescent="0.2">
      <c r="B20" s="2">
        <v>14</v>
      </c>
      <c r="C20" s="2">
        <v>29</v>
      </c>
      <c r="D20" s="2">
        <v>44</v>
      </c>
      <c r="E20" s="2">
        <v>59</v>
      </c>
      <c r="F20" s="2">
        <v>74</v>
      </c>
      <c r="G20" s="40" t="s">
        <v>6</v>
      </c>
      <c r="H20" s="41"/>
      <c r="I20" s="41"/>
      <c r="P20" s="2"/>
      <c r="Q20" s="6"/>
      <c r="R20" s="2">
        <v>17</v>
      </c>
      <c r="S20" s="8" t="s">
        <v>26</v>
      </c>
      <c r="T20" s="2">
        <f t="array" ref="T20">SUM(IF(B20=Bolos,1))</f>
        <v>0</v>
      </c>
      <c r="U20" s="2">
        <f t="array" ref="U20">SUM(IF(C20=Bolos,1))</f>
        <v>0</v>
      </c>
      <c r="V20" s="2">
        <f t="array" ref="V20">SUM(IF(D20=Bolos,1))</f>
        <v>0</v>
      </c>
      <c r="W20" s="2">
        <f t="array" ref="W20">SUM(IF(E20=Bolos,1))</f>
        <v>0</v>
      </c>
      <c r="X20" s="2">
        <f t="array" ref="X20">SUM(IF(F20=Bolos,1))</f>
        <v>0</v>
      </c>
    </row>
    <row r="21" spans="2:24" ht="12.75" customHeight="1" x14ac:dyDescent="0.2">
      <c r="B21" s="2">
        <v>15</v>
      </c>
      <c r="C21" s="2">
        <v>30</v>
      </c>
      <c r="D21" s="2">
        <v>45</v>
      </c>
      <c r="E21" s="2">
        <v>60</v>
      </c>
      <c r="F21" s="2">
        <v>75</v>
      </c>
      <c r="G21" s="40"/>
      <c r="H21" s="41"/>
      <c r="I21" s="41"/>
      <c r="P21" s="2"/>
      <c r="Q21" s="6"/>
      <c r="R21" s="6"/>
      <c r="T21" s="2">
        <f t="array" ref="T21">SUM(IF(B21=Bolos,1))</f>
        <v>0</v>
      </c>
      <c r="U21" s="2">
        <f t="array" ref="U21">SUM(IF(C21=Bolos,1))</f>
        <v>0</v>
      </c>
      <c r="V21" s="2">
        <f t="array" ref="V21">SUM(IF(D21=Bolos,1))</f>
        <v>0</v>
      </c>
      <c r="W21" s="2">
        <f t="array" ref="W21">SUM(IF(E21=Bolos,1))</f>
        <v>0</v>
      </c>
      <c r="X21" s="2">
        <f t="array" ref="X21">SUM(IF(F21=Bolos,1))</f>
        <v>0</v>
      </c>
    </row>
    <row r="22" spans="2:24" x14ac:dyDescent="0.2">
      <c r="P22" s="2"/>
      <c r="Q22" s="6"/>
      <c r="R22" s="6"/>
    </row>
    <row r="23" spans="2:24" x14ac:dyDescent="0.2">
      <c r="P23" s="2"/>
      <c r="Q23" s="6"/>
      <c r="R23" s="6"/>
    </row>
    <row r="24" spans="2:24" x14ac:dyDescent="0.2">
      <c r="P24" s="2"/>
      <c r="Q24" s="6"/>
      <c r="R24" s="6"/>
    </row>
    <row r="25" spans="2:24" x14ac:dyDescent="0.2">
      <c r="P25" s="2"/>
      <c r="Q25" s="6"/>
      <c r="R25" s="6"/>
    </row>
    <row r="26" spans="2:24" x14ac:dyDescent="0.2">
      <c r="P26" s="2"/>
      <c r="Q26" s="6"/>
      <c r="R26" s="6"/>
    </row>
    <row r="27" spans="2:24" x14ac:dyDescent="0.2">
      <c r="P27" s="2"/>
      <c r="Q27" s="6"/>
      <c r="R27" s="6"/>
    </row>
    <row r="28" spans="2:24" x14ac:dyDescent="0.2">
      <c r="P28" s="2"/>
      <c r="Q28" s="6"/>
      <c r="R28" s="6"/>
    </row>
    <row r="29" spans="2:24" x14ac:dyDescent="0.2">
      <c r="P29" s="2"/>
      <c r="Q29" s="6"/>
      <c r="R29" s="6"/>
    </row>
    <row r="30" spans="2:24" x14ac:dyDescent="0.2">
      <c r="P30" s="2"/>
      <c r="Q30" s="6"/>
      <c r="R30" s="6"/>
    </row>
    <row r="31" spans="2:24" x14ac:dyDescent="0.2">
      <c r="P31" s="2"/>
      <c r="Q31" s="6"/>
      <c r="R31" s="6"/>
    </row>
    <row r="32" spans="2:24" x14ac:dyDescent="0.2">
      <c r="P32" s="2"/>
      <c r="Q32" s="6"/>
      <c r="R32" s="6"/>
    </row>
    <row r="33" spans="16:18" x14ac:dyDescent="0.2">
      <c r="P33" s="2"/>
      <c r="Q33" s="6"/>
      <c r="R33" s="6"/>
    </row>
    <row r="34" spans="16:18" x14ac:dyDescent="0.2">
      <c r="P34" s="2"/>
      <c r="Q34" s="6"/>
      <c r="R34" s="6"/>
    </row>
    <row r="35" spans="16:18" x14ac:dyDescent="0.2">
      <c r="P35" s="2"/>
      <c r="Q35" s="6"/>
      <c r="R35" s="6"/>
    </row>
    <row r="36" spans="16:18" x14ac:dyDescent="0.2">
      <c r="P36" s="2"/>
      <c r="Q36" s="6"/>
      <c r="R36" s="6"/>
    </row>
    <row r="37" spans="16:18" x14ac:dyDescent="0.2">
      <c r="P37" s="2"/>
      <c r="Q37" s="6"/>
      <c r="R37" s="6"/>
    </row>
    <row r="38" spans="16:18" x14ac:dyDescent="0.2">
      <c r="P38" s="2"/>
      <c r="Q38" s="6"/>
      <c r="R38" s="6"/>
    </row>
    <row r="39" spans="16:18" x14ac:dyDescent="0.2">
      <c r="P39" s="2"/>
      <c r="Q39" s="6"/>
      <c r="R39" s="6"/>
    </row>
    <row r="40" spans="16:18" x14ac:dyDescent="0.2">
      <c r="P40" s="2"/>
      <c r="Q40" s="6"/>
      <c r="R40" s="6"/>
    </row>
    <row r="41" spans="16:18" x14ac:dyDescent="0.2">
      <c r="P41" s="2"/>
      <c r="Q41" s="6"/>
      <c r="R41" s="6"/>
    </row>
    <row r="42" spans="16:18" x14ac:dyDescent="0.2">
      <c r="P42" s="2"/>
      <c r="Q42" s="6"/>
      <c r="R42" s="6"/>
    </row>
    <row r="43" spans="16:18" x14ac:dyDescent="0.2">
      <c r="P43" s="2"/>
      <c r="Q43" s="6"/>
      <c r="R43" s="6"/>
    </row>
    <row r="44" spans="16:18" x14ac:dyDescent="0.2">
      <c r="P44" s="2"/>
      <c r="Q44" s="6"/>
      <c r="R44" s="6"/>
    </row>
    <row r="45" spans="16:18" x14ac:dyDescent="0.2">
      <c r="P45" s="2"/>
      <c r="Q45" s="6"/>
      <c r="R45" s="6"/>
    </row>
    <row r="46" spans="16:18" x14ac:dyDescent="0.2">
      <c r="P46" s="2"/>
      <c r="Q46" s="6"/>
      <c r="R46" s="6"/>
    </row>
    <row r="47" spans="16:18" x14ac:dyDescent="0.2">
      <c r="P47" s="2"/>
      <c r="Q47" s="6"/>
      <c r="R47" s="6"/>
    </row>
    <row r="48" spans="16:18" x14ac:dyDescent="0.2">
      <c r="P48" s="2"/>
      <c r="Q48" s="6"/>
      <c r="R48" s="6"/>
    </row>
    <row r="49" spans="16:18" x14ac:dyDescent="0.2">
      <c r="P49" s="2"/>
      <c r="Q49" s="6"/>
      <c r="R49" s="6"/>
    </row>
    <row r="50" spans="16:18" x14ac:dyDescent="0.2">
      <c r="P50" s="2"/>
      <c r="Q50" s="6"/>
      <c r="R50" s="6"/>
    </row>
    <row r="51" spans="16:18" x14ac:dyDescent="0.2">
      <c r="P51" s="2"/>
      <c r="Q51" s="6"/>
      <c r="R51" s="6"/>
    </row>
    <row r="52" spans="16:18" x14ac:dyDescent="0.2">
      <c r="P52" s="2"/>
      <c r="Q52" s="6"/>
      <c r="R52" s="6"/>
    </row>
    <row r="53" spans="16:18" x14ac:dyDescent="0.2">
      <c r="P53" s="2"/>
      <c r="Q53" s="6"/>
      <c r="R53" s="6"/>
    </row>
    <row r="54" spans="16:18" x14ac:dyDescent="0.2">
      <c r="P54" s="2"/>
      <c r="Q54" s="6"/>
      <c r="R54" s="6"/>
    </row>
    <row r="55" spans="16:18" x14ac:dyDescent="0.2">
      <c r="P55" s="2"/>
      <c r="Q55" s="6"/>
      <c r="R55" s="6"/>
    </row>
    <row r="56" spans="16:18" x14ac:dyDescent="0.2">
      <c r="P56" s="2"/>
      <c r="Q56" s="6"/>
      <c r="R56" s="6"/>
    </row>
    <row r="57" spans="16:18" x14ac:dyDescent="0.2">
      <c r="P57" s="2"/>
      <c r="Q57" s="6"/>
      <c r="R57" s="6"/>
    </row>
    <row r="58" spans="16:18" x14ac:dyDescent="0.2">
      <c r="P58" s="2"/>
      <c r="Q58" s="6"/>
      <c r="R58" s="6"/>
    </row>
    <row r="59" spans="16:18" x14ac:dyDescent="0.2">
      <c r="P59" s="2"/>
      <c r="Q59" s="6"/>
      <c r="R59" s="6"/>
    </row>
    <row r="60" spans="16:18" x14ac:dyDescent="0.2">
      <c r="P60" s="2"/>
      <c r="Q60" s="6"/>
      <c r="R60" s="6"/>
    </row>
    <row r="61" spans="16:18" x14ac:dyDescent="0.2">
      <c r="P61" s="2"/>
      <c r="Q61" s="6"/>
      <c r="R61" s="6"/>
    </row>
    <row r="62" spans="16:18" x14ac:dyDescent="0.2">
      <c r="P62" s="2"/>
      <c r="Q62" s="6"/>
      <c r="R62" s="6"/>
    </row>
    <row r="63" spans="16:18" x14ac:dyDescent="0.2">
      <c r="P63" s="2"/>
      <c r="Q63" s="6"/>
      <c r="R63" s="6"/>
    </row>
    <row r="64" spans="16:18" x14ac:dyDescent="0.2">
      <c r="P64" s="2"/>
      <c r="Q64" s="6"/>
      <c r="R64" s="6"/>
    </row>
    <row r="65" spans="16:18" x14ac:dyDescent="0.2">
      <c r="P65" s="2"/>
      <c r="Q65" s="6"/>
      <c r="R65" s="6"/>
    </row>
    <row r="66" spans="16:18" x14ac:dyDescent="0.2">
      <c r="P66" s="2"/>
      <c r="Q66" s="6"/>
      <c r="R66" s="6"/>
    </row>
    <row r="67" spans="16:18" x14ac:dyDescent="0.2">
      <c r="P67" s="2"/>
      <c r="Q67" s="6"/>
      <c r="R67" s="6"/>
    </row>
    <row r="68" spans="16:18" x14ac:dyDescent="0.2">
      <c r="P68" s="2"/>
      <c r="Q68" s="6"/>
      <c r="R68" s="6"/>
    </row>
    <row r="69" spans="16:18" x14ac:dyDescent="0.2">
      <c r="P69" s="2"/>
      <c r="Q69" s="6"/>
      <c r="R69" s="6"/>
    </row>
    <row r="70" spans="16:18" x14ac:dyDescent="0.2">
      <c r="P70" s="2"/>
      <c r="Q70" s="6"/>
      <c r="R70" s="6"/>
    </row>
    <row r="71" spans="16:18" x14ac:dyDescent="0.2">
      <c r="P71" s="2"/>
      <c r="Q71" s="6"/>
      <c r="R71" s="6"/>
    </row>
    <row r="72" spans="16:18" x14ac:dyDescent="0.2">
      <c r="P72" s="2"/>
      <c r="Q72" s="6"/>
      <c r="R72" s="6"/>
    </row>
    <row r="73" spans="16:18" x14ac:dyDescent="0.2">
      <c r="P73" s="2"/>
      <c r="Q73" s="6"/>
      <c r="R73" s="6"/>
    </row>
    <row r="74" spans="16:18" x14ac:dyDescent="0.2">
      <c r="P74" s="2"/>
      <c r="Q74" s="6"/>
      <c r="R74" s="6"/>
    </row>
    <row r="75" spans="16:18" x14ac:dyDescent="0.2">
      <c r="P75" s="2"/>
      <c r="Q75" s="6"/>
      <c r="R75" s="6"/>
    </row>
    <row r="76" spans="16:18" x14ac:dyDescent="0.2">
      <c r="P76" s="2"/>
      <c r="Q76" s="6"/>
      <c r="R76" s="6"/>
    </row>
    <row r="77" spans="16:18" x14ac:dyDescent="0.2">
      <c r="P77" s="2"/>
      <c r="Q77" s="6"/>
      <c r="R77" s="6"/>
    </row>
    <row r="78" spans="16:18" x14ac:dyDescent="0.2">
      <c r="P78" s="2"/>
      <c r="Q78" s="6"/>
      <c r="R78" s="6"/>
    </row>
  </sheetData>
  <mergeCells count="27">
    <mergeCell ref="G20:I21"/>
    <mergeCell ref="K16:K17"/>
    <mergeCell ref="L16:L17"/>
    <mergeCell ref="M16:M17"/>
    <mergeCell ref="H16:H18"/>
    <mergeCell ref="J16:J17"/>
    <mergeCell ref="M12:M13"/>
    <mergeCell ref="N12:N13"/>
    <mergeCell ref="N16:N17"/>
    <mergeCell ref="K14:K15"/>
    <mergeCell ref="L14:L15"/>
    <mergeCell ref="M14:M15"/>
    <mergeCell ref="N14:N15"/>
    <mergeCell ref="L12:L13"/>
    <mergeCell ref="M8:M9"/>
    <mergeCell ref="N8:N9"/>
    <mergeCell ref="K10:K11"/>
    <mergeCell ref="L10:L11"/>
    <mergeCell ref="M10:M11"/>
    <mergeCell ref="N10:N11"/>
    <mergeCell ref="L8:L9"/>
    <mergeCell ref="J8:J9"/>
    <mergeCell ref="J10:J11"/>
    <mergeCell ref="J12:J13"/>
    <mergeCell ref="J14:J15"/>
    <mergeCell ref="K8:K9"/>
    <mergeCell ref="K12:K13"/>
  </mergeCells>
  <phoneticPr fontId="2" type="noConversion"/>
  <conditionalFormatting sqref="B7:F21">
    <cfRule type="expression" dxfId="1" priority="1" stopIfTrue="1">
      <formula>T7=1</formula>
    </cfRule>
  </conditionalFormatting>
  <pageMargins left="0.75" right="0.75" top="1" bottom="1" header="0" footer="0"/>
  <pageSetup paperSize="9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Drop Down 30">
              <controlPr defaultSize="0" autoLine="0" autoPict="0" macro="[0]!Figura">
                <anchor moveWithCells="1">
                  <from>
                    <xdr:col>10</xdr:col>
                    <xdr:colOff>304800</xdr:colOff>
                    <xdr:row>4</xdr:row>
                    <xdr:rowOff>142875</xdr:rowOff>
                  </from>
                  <to>
                    <xdr:col>13</xdr:col>
                    <xdr:colOff>304800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>
    <tabColor indexed="62"/>
  </sheetPr>
  <dimension ref="B3:Q20"/>
  <sheetViews>
    <sheetView showGridLines="0" zoomScale="115" zoomScaleNormal="115" workbookViewId="0"/>
  </sheetViews>
  <sheetFormatPr baseColWidth="10" defaultRowHeight="12.75" x14ac:dyDescent="0.2"/>
  <cols>
    <col min="1" max="1" width="4.5703125" customWidth="1"/>
    <col min="2" max="2" width="7.28515625" customWidth="1"/>
    <col min="3" max="17" width="8.140625" bestFit="1" customWidth="1"/>
  </cols>
  <sheetData>
    <row r="3" spans="2:17" ht="48" customHeight="1" x14ac:dyDescent="0.2">
      <c r="B3" s="31" t="s">
        <v>0</v>
      </c>
      <c r="C3" s="32">
        <v>1</v>
      </c>
      <c r="D3" s="32">
        <v>2</v>
      </c>
      <c r="E3" s="32">
        <v>3</v>
      </c>
      <c r="F3" s="32">
        <v>4</v>
      </c>
      <c r="G3" s="32">
        <v>5</v>
      </c>
      <c r="H3" s="32">
        <v>6</v>
      </c>
      <c r="I3" s="32">
        <v>7</v>
      </c>
      <c r="J3" s="32">
        <v>8</v>
      </c>
      <c r="K3" s="32">
        <v>9</v>
      </c>
      <c r="L3" s="32">
        <v>10</v>
      </c>
      <c r="M3" s="32">
        <v>11</v>
      </c>
      <c r="N3" s="32">
        <v>12</v>
      </c>
      <c r="O3" s="32">
        <v>13</v>
      </c>
      <c r="P3" s="32">
        <v>14</v>
      </c>
      <c r="Q3" s="32">
        <v>15</v>
      </c>
    </row>
    <row r="4" spans="2:17" ht="48" customHeight="1" x14ac:dyDescent="0.2">
      <c r="B4" s="31" t="s">
        <v>1</v>
      </c>
      <c r="C4" s="32">
        <v>16</v>
      </c>
      <c r="D4" s="32">
        <v>17</v>
      </c>
      <c r="E4" s="32">
        <v>18</v>
      </c>
      <c r="F4" s="32">
        <v>19</v>
      </c>
      <c r="G4" s="32">
        <v>20</v>
      </c>
      <c r="H4" s="32">
        <v>21</v>
      </c>
      <c r="I4" s="32">
        <v>22</v>
      </c>
      <c r="J4" s="32">
        <v>23</v>
      </c>
      <c r="K4" s="32">
        <v>24</v>
      </c>
      <c r="L4" s="32">
        <v>25</v>
      </c>
      <c r="M4" s="32">
        <v>26</v>
      </c>
      <c r="N4" s="32">
        <v>27</v>
      </c>
      <c r="O4" s="32">
        <v>28</v>
      </c>
      <c r="P4" s="32">
        <v>29</v>
      </c>
      <c r="Q4" s="32">
        <v>30</v>
      </c>
    </row>
    <row r="5" spans="2:17" ht="48" customHeight="1" x14ac:dyDescent="0.2">
      <c r="B5" s="31" t="s">
        <v>2</v>
      </c>
      <c r="C5" s="32">
        <v>31</v>
      </c>
      <c r="D5" s="32">
        <v>32</v>
      </c>
      <c r="E5" s="32">
        <v>33</v>
      </c>
      <c r="F5" s="32">
        <v>34</v>
      </c>
      <c r="G5" s="32">
        <v>35</v>
      </c>
      <c r="H5" s="32">
        <v>36</v>
      </c>
      <c r="I5" s="32">
        <v>37</v>
      </c>
      <c r="J5" s="32">
        <v>38</v>
      </c>
      <c r="K5" s="32">
        <v>39</v>
      </c>
      <c r="L5" s="32">
        <v>40</v>
      </c>
      <c r="M5" s="32">
        <v>41</v>
      </c>
      <c r="N5" s="32">
        <v>42</v>
      </c>
      <c r="O5" s="32">
        <v>43</v>
      </c>
      <c r="P5" s="32">
        <v>44</v>
      </c>
      <c r="Q5" s="32">
        <v>45</v>
      </c>
    </row>
    <row r="6" spans="2:17" ht="48" customHeight="1" x14ac:dyDescent="0.2">
      <c r="B6" s="31" t="s">
        <v>3</v>
      </c>
      <c r="C6" s="32">
        <v>46</v>
      </c>
      <c r="D6" s="32">
        <v>47</v>
      </c>
      <c r="E6" s="32">
        <v>48</v>
      </c>
      <c r="F6" s="32">
        <v>49</v>
      </c>
      <c r="G6" s="32">
        <v>50</v>
      </c>
      <c r="H6" s="32">
        <v>51</v>
      </c>
      <c r="I6" s="32">
        <v>52</v>
      </c>
      <c r="J6" s="32">
        <v>53</v>
      </c>
      <c r="K6" s="32">
        <v>54</v>
      </c>
      <c r="L6" s="32">
        <v>55</v>
      </c>
      <c r="M6" s="32">
        <v>56</v>
      </c>
      <c r="N6" s="32">
        <v>57</v>
      </c>
      <c r="O6" s="32">
        <v>58</v>
      </c>
      <c r="P6" s="32">
        <v>59</v>
      </c>
      <c r="Q6" s="32">
        <v>60</v>
      </c>
    </row>
    <row r="7" spans="2:17" ht="48" customHeight="1" x14ac:dyDescent="0.2">
      <c r="B7" s="31" t="s">
        <v>4</v>
      </c>
      <c r="C7" s="32">
        <v>61</v>
      </c>
      <c r="D7" s="32">
        <v>62</v>
      </c>
      <c r="E7" s="32">
        <v>63</v>
      </c>
      <c r="F7" s="32">
        <v>64</v>
      </c>
      <c r="G7" s="32">
        <v>65</v>
      </c>
      <c r="H7" s="32">
        <v>66</v>
      </c>
      <c r="I7" s="32">
        <v>67</v>
      </c>
      <c r="J7" s="32">
        <v>68</v>
      </c>
      <c r="K7" s="32">
        <v>69</v>
      </c>
      <c r="L7" s="32">
        <v>70</v>
      </c>
      <c r="M7" s="32">
        <v>71</v>
      </c>
      <c r="N7" s="32">
        <v>72</v>
      </c>
      <c r="O7" s="32">
        <v>73</v>
      </c>
      <c r="P7" s="32">
        <v>74</v>
      </c>
      <c r="Q7" s="32">
        <v>75</v>
      </c>
    </row>
    <row r="10" spans="2:17" hidden="1" x14ac:dyDescent="0.2">
      <c r="C10">
        <f>Bingo!T7</f>
        <v>0</v>
      </c>
      <c r="D10">
        <f>Bingo!T8</f>
        <v>0</v>
      </c>
      <c r="E10">
        <f>Bingo!T9</f>
        <v>0</v>
      </c>
      <c r="F10">
        <f>Bingo!T10</f>
        <v>0</v>
      </c>
      <c r="G10">
        <f>Bingo!T11</f>
        <v>0</v>
      </c>
      <c r="H10">
        <f>Bingo!T12</f>
        <v>0</v>
      </c>
      <c r="I10">
        <f>Bingo!T13</f>
        <v>0</v>
      </c>
      <c r="J10">
        <f>Bingo!T14</f>
        <v>0</v>
      </c>
      <c r="K10">
        <f>Bingo!T15</f>
        <v>0</v>
      </c>
      <c r="L10">
        <f>Bingo!T16</f>
        <v>0</v>
      </c>
      <c r="M10">
        <f>Bingo!T17</f>
        <v>0</v>
      </c>
      <c r="N10">
        <f>Bingo!T18</f>
        <v>0</v>
      </c>
      <c r="O10">
        <f>Bingo!T19</f>
        <v>0</v>
      </c>
      <c r="P10">
        <f>Bingo!T20</f>
        <v>0</v>
      </c>
      <c r="Q10">
        <f>Bingo!T21</f>
        <v>0</v>
      </c>
    </row>
    <row r="11" spans="2:17" hidden="1" x14ac:dyDescent="0.2">
      <c r="C11">
        <f>Bingo!U7</f>
        <v>0</v>
      </c>
      <c r="D11">
        <f>Bingo!U8</f>
        <v>0</v>
      </c>
      <c r="E11">
        <f>Bingo!U9</f>
        <v>0</v>
      </c>
      <c r="F11">
        <f>Bingo!U10</f>
        <v>0</v>
      </c>
      <c r="G11">
        <f>Bingo!U11</f>
        <v>0</v>
      </c>
      <c r="H11">
        <f>Bingo!U12</f>
        <v>0</v>
      </c>
      <c r="I11">
        <f>Bingo!U13</f>
        <v>0</v>
      </c>
      <c r="J11">
        <f>Bingo!U14</f>
        <v>0</v>
      </c>
      <c r="K11">
        <f>Bingo!U15</f>
        <v>0</v>
      </c>
      <c r="L11">
        <f>Bingo!U16</f>
        <v>0</v>
      </c>
      <c r="M11">
        <f>Bingo!U17</f>
        <v>0</v>
      </c>
      <c r="N11">
        <f>Bingo!U18</f>
        <v>0</v>
      </c>
      <c r="O11">
        <f>Bingo!U19</f>
        <v>0</v>
      </c>
      <c r="P11">
        <f>Bingo!U20</f>
        <v>0</v>
      </c>
      <c r="Q11">
        <f>Bingo!U21</f>
        <v>0</v>
      </c>
    </row>
    <row r="12" spans="2:17" hidden="1" x14ac:dyDescent="0.2">
      <c r="C12">
        <f>Bingo!V7</f>
        <v>0</v>
      </c>
      <c r="D12">
        <f>Bingo!V8</f>
        <v>0</v>
      </c>
      <c r="E12">
        <f>Bingo!V9</f>
        <v>0</v>
      </c>
      <c r="F12">
        <f>Bingo!V10</f>
        <v>0</v>
      </c>
      <c r="G12">
        <f>Bingo!V11</f>
        <v>0</v>
      </c>
      <c r="H12">
        <f>Bingo!V12</f>
        <v>0</v>
      </c>
      <c r="I12">
        <f>Bingo!V13</f>
        <v>0</v>
      </c>
      <c r="J12">
        <f>Bingo!V14</f>
        <v>0</v>
      </c>
      <c r="K12">
        <f>Bingo!V15</f>
        <v>0</v>
      </c>
      <c r="L12">
        <f>Bingo!V16</f>
        <v>0</v>
      </c>
      <c r="M12">
        <f>Bingo!V17</f>
        <v>0</v>
      </c>
      <c r="N12">
        <f>Bingo!V18</f>
        <v>0</v>
      </c>
      <c r="O12">
        <f>Bingo!V19</f>
        <v>0</v>
      </c>
      <c r="P12">
        <f>Bingo!V20</f>
        <v>0</v>
      </c>
      <c r="Q12">
        <f>Bingo!V21</f>
        <v>0</v>
      </c>
    </row>
    <row r="13" spans="2:17" hidden="1" x14ac:dyDescent="0.2">
      <c r="C13">
        <f>Bingo!W7</f>
        <v>0</v>
      </c>
      <c r="D13">
        <f>Bingo!W8</f>
        <v>0</v>
      </c>
      <c r="E13">
        <f>Bingo!W9</f>
        <v>0</v>
      </c>
      <c r="F13">
        <f>Bingo!W10</f>
        <v>0</v>
      </c>
      <c r="G13">
        <f>Bingo!W11</f>
        <v>0</v>
      </c>
      <c r="H13">
        <f>Bingo!W12</f>
        <v>0</v>
      </c>
      <c r="I13">
        <f>Bingo!W13</f>
        <v>0</v>
      </c>
      <c r="J13">
        <f>Bingo!W14</f>
        <v>0</v>
      </c>
      <c r="K13">
        <f>Bingo!W15</f>
        <v>0</v>
      </c>
      <c r="L13">
        <f>Bingo!W16</f>
        <v>0</v>
      </c>
      <c r="M13">
        <f>Bingo!W17</f>
        <v>0</v>
      </c>
      <c r="N13">
        <f>Bingo!W18</f>
        <v>0</v>
      </c>
      <c r="O13">
        <f>Bingo!W19</f>
        <v>0</v>
      </c>
      <c r="P13">
        <f>Bingo!W20</f>
        <v>0</v>
      </c>
      <c r="Q13">
        <f>Bingo!W21</f>
        <v>0</v>
      </c>
    </row>
    <row r="14" spans="2:17" hidden="1" x14ac:dyDescent="0.2">
      <c r="C14">
        <f>Bingo!X7</f>
        <v>0</v>
      </c>
      <c r="D14">
        <f>Bingo!X8</f>
        <v>0</v>
      </c>
      <c r="E14">
        <f>Bingo!X9</f>
        <v>0</v>
      </c>
      <c r="F14">
        <f>Bingo!X10</f>
        <v>0</v>
      </c>
      <c r="G14">
        <f>Bingo!X11</f>
        <v>0</v>
      </c>
      <c r="H14">
        <f>Bingo!X12</f>
        <v>0</v>
      </c>
      <c r="I14">
        <f>Bingo!X13</f>
        <v>0</v>
      </c>
      <c r="J14">
        <f>Bingo!X14</f>
        <v>0</v>
      </c>
      <c r="K14">
        <f>Bingo!X15</f>
        <v>0</v>
      </c>
      <c r="L14">
        <f>Bingo!X16</f>
        <v>0</v>
      </c>
      <c r="M14">
        <f>Bingo!X17</f>
        <v>0</v>
      </c>
      <c r="N14">
        <f>Bingo!X18</f>
        <v>0</v>
      </c>
      <c r="O14">
        <f>Bingo!X19</f>
        <v>0</v>
      </c>
      <c r="P14">
        <f>Bingo!X20</f>
        <v>0</v>
      </c>
      <c r="Q14">
        <f>Bingo!X21</f>
        <v>0</v>
      </c>
    </row>
    <row r="16" spans="2:17" x14ac:dyDescent="0.2">
      <c r="H16" t="str">
        <f>Bingo!H8</f>
        <v/>
      </c>
      <c r="L16" s="42">
        <f>COUNT(Bolos)</f>
        <v>0</v>
      </c>
    </row>
    <row r="17" spans="8:12" x14ac:dyDescent="0.2">
      <c r="H17" t="str">
        <f>IF(ISBLANK(Bingo!H9),"",Bingo!H9)</f>
        <v/>
      </c>
      <c r="L17" s="42"/>
    </row>
    <row r="18" spans="8:12" x14ac:dyDescent="0.2">
      <c r="L18" s="42"/>
    </row>
    <row r="20" spans="8:12" ht="18" x14ac:dyDescent="0.25">
      <c r="L20" s="33" t="s">
        <v>6</v>
      </c>
    </row>
  </sheetData>
  <mergeCells count="1">
    <mergeCell ref="L16:L18"/>
  </mergeCells>
  <phoneticPr fontId="2" type="noConversion"/>
  <conditionalFormatting sqref="C3:Q7">
    <cfRule type="expression" dxfId="0" priority="1" stopIfTrue="1">
      <formula>C10=1</formula>
    </cfRule>
  </conditionalFormatting>
  <pageMargins left="0.75" right="0.75" top="1" bottom="1" header="0" footer="0"/>
  <headerFooter alignWithMargins="0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indexed="10"/>
    <pageSetUpPr fitToPage="1"/>
  </sheetPr>
  <dimension ref="B2:AD27"/>
  <sheetViews>
    <sheetView showGridLines="0" zoomScale="55" zoomScaleNormal="55" workbookViewId="0"/>
  </sheetViews>
  <sheetFormatPr baseColWidth="10" defaultRowHeight="12.75" x14ac:dyDescent="0.2"/>
  <cols>
    <col min="2" max="2" width="2.7109375" customWidth="1"/>
    <col min="3" max="7" width="7.7109375" customWidth="1"/>
    <col min="8" max="10" width="2.7109375" customWidth="1"/>
    <col min="11" max="15" width="7.7109375" customWidth="1"/>
    <col min="16" max="16" width="3.42578125" customWidth="1"/>
    <col min="18" max="22" width="7.7109375" customWidth="1"/>
  </cols>
  <sheetData>
    <row r="2" spans="2:30" x14ac:dyDescent="0.2">
      <c r="R2" s="29">
        <f t="array" aca="1" ref="R2" ca="1">SUM(IF(OR((R6=R7:R10),(R7=R8:R10),(R8=R9:R10),(R9=R10)),1))</f>
        <v>1</v>
      </c>
      <c r="S2" s="29">
        <f t="array" aca="1" ref="S2" ca="1">SUM(IF(OR((S6=S7:S10),(S7=S8:S10),(S8=S9:S10),(S9=S10)),1))</f>
        <v>0</v>
      </c>
      <c r="T2" s="29">
        <f t="array" aca="1" ref="T2" ca="1">SUM(IF(OR((T6=T7:T10),(T7=T8:T10),(T8=T9:T10),(T9=T10)),1))</f>
        <v>1</v>
      </c>
      <c r="U2" s="29">
        <f t="array" aca="1" ref="U2" ca="1">SUM(IF(OR((U6=U7:U10),(U7=U8:U10),(U8=U9:U10),(U9=U10)),1))</f>
        <v>0</v>
      </c>
      <c r="V2" s="29">
        <f t="array" aca="1" ref="V2" ca="1">SUM(IF(OR((V6=V7:V10),(V7=V8:V10),(V8=V9:V10),(V9=V10)),1))</f>
        <v>1</v>
      </c>
    </row>
    <row r="4" spans="2:30" ht="12" customHeight="1" thickBot="1" x14ac:dyDescent="0.25">
      <c r="V4" s="30">
        <f ca="1">SUM(Test)</f>
        <v>3</v>
      </c>
    </row>
    <row r="5" spans="2:30" ht="40.5" customHeight="1" thickBot="1" x14ac:dyDescent="0.25">
      <c r="B5" s="12"/>
      <c r="C5" s="13" t="s">
        <v>0</v>
      </c>
      <c r="D5" s="13" t="s">
        <v>1</v>
      </c>
      <c r="E5" s="13" t="s">
        <v>2</v>
      </c>
      <c r="F5" s="13" t="s">
        <v>3</v>
      </c>
      <c r="G5" s="13" t="s">
        <v>4</v>
      </c>
      <c r="H5" s="14"/>
      <c r="J5" s="12"/>
      <c r="K5" s="13" t="s">
        <v>0</v>
      </c>
      <c r="L5" s="13" t="s">
        <v>1</v>
      </c>
      <c r="M5" s="13" t="s">
        <v>2</v>
      </c>
      <c r="N5" s="13" t="s">
        <v>3</v>
      </c>
      <c r="O5" s="13" t="s">
        <v>4</v>
      </c>
      <c r="P5" s="14"/>
    </row>
    <row r="6" spans="2:30" ht="40.5" customHeight="1" x14ac:dyDescent="0.4">
      <c r="B6" s="15"/>
      <c r="C6" s="20">
        <v>1</v>
      </c>
      <c r="D6" s="21">
        <v>20</v>
      </c>
      <c r="E6" s="21">
        <v>32</v>
      </c>
      <c r="F6" s="21">
        <v>46</v>
      </c>
      <c r="G6" s="22">
        <v>64</v>
      </c>
      <c r="H6" s="16"/>
      <c r="J6" s="15"/>
      <c r="K6" s="20">
        <v>1</v>
      </c>
      <c r="L6" s="21">
        <v>16</v>
      </c>
      <c r="M6" s="21">
        <v>32</v>
      </c>
      <c r="N6" s="21">
        <v>47</v>
      </c>
      <c r="O6" s="22">
        <v>64</v>
      </c>
      <c r="P6" s="16"/>
      <c r="R6" s="20">
        <f ca="1">INT(RAND()*15+1)</f>
        <v>11</v>
      </c>
      <c r="S6" s="21">
        <f ca="1">INT(RAND()*15+16)</f>
        <v>28</v>
      </c>
      <c r="T6" s="21">
        <f ca="1">INT(RAND()*15+31)</f>
        <v>43</v>
      </c>
      <c r="U6" s="21">
        <f ca="1">INT(RAND()*15+46)</f>
        <v>54</v>
      </c>
      <c r="V6" s="22">
        <f ca="1">INT(RAND()*15+61)</f>
        <v>67</v>
      </c>
      <c r="X6" s="35" t="s">
        <v>29</v>
      </c>
      <c r="Y6" s="34"/>
      <c r="Z6" s="34"/>
      <c r="AA6" s="34"/>
      <c r="AB6" s="34"/>
      <c r="AC6" s="34"/>
      <c r="AD6" s="34"/>
    </row>
    <row r="7" spans="2:30" ht="40.5" customHeight="1" x14ac:dyDescent="0.4">
      <c r="B7" s="15"/>
      <c r="C7" s="23">
        <v>4</v>
      </c>
      <c r="D7" s="10">
        <v>23</v>
      </c>
      <c r="E7" s="10">
        <v>34</v>
      </c>
      <c r="F7" s="10">
        <v>47</v>
      </c>
      <c r="G7" s="24">
        <v>65</v>
      </c>
      <c r="H7" s="16"/>
      <c r="J7" s="15"/>
      <c r="K7" s="23">
        <v>6</v>
      </c>
      <c r="L7" s="10">
        <v>20</v>
      </c>
      <c r="M7" s="10">
        <v>35</v>
      </c>
      <c r="N7" s="10">
        <v>49</v>
      </c>
      <c r="O7" s="24">
        <v>67</v>
      </c>
      <c r="P7" s="16"/>
      <c r="R7" s="23">
        <f ca="1">INT(RAND()*15+1)</f>
        <v>14</v>
      </c>
      <c r="S7" s="10">
        <f ca="1">INT(RAND()*15+16)</f>
        <v>23</v>
      </c>
      <c r="T7" s="10">
        <f ca="1">INT(RAND()*15+31)</f>
        <v>44</v>
      </c>
      <c r="U7" s="10">
        <f ca="1">INT(RAND()*15+46)</f>
        <v>48</v>
      </c>
      <c r="V7" s="24">
        <f ca="1">INT(RAND()*15+61)</f>
        <v>73</v>
      </c>
      <c r="X7" s="35" t="s">
        <v>31</v>
      </c>
      <c r="Y7" s="34"/>
      <c r="Z7" s="34"/>
      <c r="AA7" s="34"/>
      <c r="AB7" s="34"/>
      <c r="AC7" s="34"/>
      <c r="AD7" s="34"/>
    </row>
    <row r="8" spans="2:30" ht="40.5" customHeight="1" x14ac:dyDescent="0.4">
      <c r="B8" s="15"/>
      <c r="C8" s="23">
        <v>8</v>
      </c>
      <c r="D8" s="10">
        <v>25</v>
      </c>
      <c r="E8" s="11" t="s">
        <v>25</v>
      </c>
      <c r="F8" s="10">
        <v>50</v>
      </c>
      <c r="G8" s="24">
        <v>70</v>
      </c>
      <c r="H8" s="16"/>
      <c r="J8" s="15"/>
      <c r="K8" s="23">
        <v>7</v>
      </c>
      <c r="L8" s="10">
        <v>21</v>
      </c>
      <c r="M8" s="11" t="s">
        <v>25</v>
      </c>
      <c r="N8" s="10">
        <v>53</v>
      </c>
      <c r="O8" s="24">
        <v>69</v>
      </c>
      <c r="P8" s="16"/>
      <c r="R8" s="23">
        <f ca="1">INT(RAND()*15+1)</f>
        <v>12</v>
      </c>
      <c r="S8" s="10">
        <f ca="1">INT(RAND()*15+16)</f>
        <v>29</v>
      </c>
      <c r="T8" s="11" t="s">
        <v>25</v>
      </c>
      <c r="U8" s="10">
        <f ca="1">INT(RAND()*15+46)</f>
        <v>56</v>
      </c>
      <c r="V8" s="24">
        <f ca="1">INT(RAND()*15+61)</f>
        <v>70</v>
      </c>
      <c r="X8" s="35" t="s">
        <v>30</v>
      </c>
      <c r="Y8" s="34"/>
      <c r="Z8" s="34"/>
      <c r="AA8" s="34"/>
      <c r="AB8" s="34"/>
      <c r="AC8" s="34"/>
      <c r="AD8" s="34"/>
    </row>
    <row r="9" spans="2:30" ht="40.5" customHeight="1" x14ac:dyDescent="0.35">
      <c r="B9" s="15"/>
      <c r="C9" s="23">
        <v>12</v>
      </c>
      <c r="D9" s="10">
        <v>26</v>
      </c>
      <c r="E9" s="10">
        <v>39</v>
      </c>
      <c r="F9" s="10">
        <v>53</v>
      </c>
      <c r="G9" s="24">
        <v>71</v>
      </c>
      <c r="H9" s="16"/>
      <c r="J9" s="15"/>
      <c r="K9" s="23">
        <v>11</v>
      </c>
      <c r="L9" s="10">
        <v>26</v>
      </c>
      <c r="M9" s="10">
        <v>36</v>
      </c>
      <c r="N9" s="10">
        <v>59</v>
      </c>
      <c r="O9" s="24">
        <v>72</v>
      </c>
      <c r="P9" s="16"/>
      <c r="R9" s="23">
        <f ca="1">INT(RAND()*15+1)</f>
        <v>14</v>
      </c>
      <c r="S9" s="10">
        <f ca="1">INT(RAND()*15+16)</f>
        <v>16</v>
      </c>
      <c r="T9" s="10">
        <f ca="1">INT(RAND()*15+31)</f>
        <v>35</v>
      </c>
      <c r="U9" s="10">
        <f ca="1">INT(RAND()*15+46)</f>
        <v>58</v>
      </c>
      <c r="V9" s="24">
        <f ca="1">INT(RAND()*15+61)</f>
        <v>64</v>
      </c>
      <c r="X9" s="34"/>
      <c r="Y9" s="34"/>
      <c r="Z9" s="34"/>
      <c r="AA9" s="34"/>
      <c r="AB9" s="34"/>
      <c r="AC9" s="34"/>
      <c r="AD9" s="34"/>
    </row>
    <row r="10" spans="2:30" ht="40.5" customHeight="1" thickBot="1" x14ac:dyDescent="0.4">
      <c r="B10" s="15"/>
      <c r="C10" s="25">
        <v>13</v>
      </c>
      <c r="D10" s="26">
        <v>29</v>
      </c>
      <c r="E10" s="26">
        <v>43</v>
      </c>
      <c r="F10" s="26">
        <v>58</v>
      </c>
      <c r="G10" s="27">
        <v>72</v>
      </c>
      <c r="H10" s="16"/>
      <c r="J10" s="15"/>
      <c r="K10" s="25">
        <v>14</v>
      </c>
      <c r="L10" s="26">
        <v>27</v>
      </c>
      <c r="M10" s="26">
        <v>45</v>
      </c>
      <c r="N10" s="26">
        <v>60</v>
      </c>
      <c r="O10" s="27">
        <v>75</v>
      </c>
      <c r="P10" s="16"/>
      <c r="R10" s="25">
        <f ca="1">INT(RAND()*15+1)</f>
        <v>8</v>
      </c>
      <c r="S10" s="26">
        <f ca="1">INT(RAND()*15+16)</f>
        <v>27</v>
      </c>
      <c r="T10" s="26">
        <f ca="1">INT(RAND()*15+31)</f>
        <v>43</v>
      </c>
      <c r="U10" s="26">
        <f ca="1">INT(RAND()*15+46)</f>
        <v>50</v>
      </c>
      <c r="V10" s="27">
        <f ca="1">INT(RAND()*15+61)</f>
        <v>64</v>
      </c>
      <c r="X10" s="34"/>
      <c r="Y10" s="34"/>
      <c r="Z10" s="34"/>
      <c r="AA10" s="34"/>
      <c r="AB10" s="34"/>
      <c r="AC10" s="34"/>
      <c r="AD10" s="34"/>
    </row>
    <row r="11" spans="2:30" ht="13.5" thickBot="1" x14ac:dyDescent="0.25">
      <c r="B11" s="17"/>
      <c r="C11" s="18"/>
      <c r="D11" s="18"/>
      <c r="E11" s="18"/>
      <c r="F11" s="18"/>
      <c r="G11" s="18"/>
      <c r="H11" s="19"/>
      <c r="J11" s="17"/>
      <c r="K11" s="18"/>
      <c r="L11" s="18"/>
      <c r="M11" s="18"/>
      <c r="N11" s="18"/>
      <c r="O11" s="18"/>
      <c r="P11" s="19"/>
    </row>
    <row r="12" spans="2:30" ht="13.5" thickBot="1" x14ac:dyDescent="0.25"/>
    <row r="13" spans="2:30" ht="40.5" customHeight="1" thickBot="1" x14ac:dyDescent="0.25">
      <c r="B13" s="12"/>
      <c r="C13" s="13" t="s">
        <v>0</v>
      </c>
      <c r="D13" s="13" t="s">
        <v>1</v>
      </c>
      <c r="E13" s="13" t="s">
        <v>2</v>
      </c>
      <c r="F13" s="13" t="s">
        <v>3</v>
      </c>
      <c r="G13" s="13" t="s">
        <v>4</v>
      </c>
      <c r="H13" s="14"/>
      <c r="J13" s="12"/>
      <c r="K13" s="13" t="s">
        <v>0</v>
      </c>
      <c r="L13" s="13" t="s">
        <v>1</v>
      </c>
      <c r="M13" s="13" t="s">
        <v>2</v>
      </c>
      <c r="N13" s="13" t="s">
        <v>3</v>
      </c>
      <c r="O13" s="13" t="s">
        <v>4</v>
      </c>
      <c r="P13" s="14"/>
    </row>
    <row r="14" spans="2:30" ht="40.5" customHeight="1" x14ac:dyDescent="0.2">
      <c r="B14" s="15"/>
      <c r="C14" s="20">
        <v>3</v>
      </c>
      <c r="D14" s="21">
        <v>16</v>
      </c>
      <c r="E14" s="21">
        <v>39</v>
      </c>
      <c r="F14" s="21">
        <v>47</v>
      </c>
      <c r="G14" s="22">
        <v>62</v>
      </c>
      <c r="H14" s="16"/>
      <c r="J14" s="15"/>
      <c r="K14" s="20">
        <v>2</v>
      </c>
      <c r="L14" s="21">
        <v>17</v>
      </c>
      <c r="M14" s="21">
        <v>37</v>
      </c>
      <c r="N14" s="21">
        <v>46</v>
      </c>
      <c r="O14" s="22">
        <v>64</v>
      </c>
      <c r="P14" s="16"/>
      <c r="R14" s="20">
        <v>1</v>
      </c>
      <c r="S14" s="21">
        <v>20</v>
      </c>
      <c r="T14" s="21">
        <v>32</v>
      </c>
      <c r="U14" s="21">
        <v>46</v>
      </c>
      <c r="V14" s="22">
        <v>64</v>
      </c>
    </row>
    <row r="15" spans="2:30" ht="40.5" customHeight="1" x14ac:dyDescent="0.2">
      <c r="B15" s="15"/>
      <c r="C15" s="23">
        <v>7</v>
      </c>
      <c r="D15" s="10">
        <v>19</v>
      </c>
      <c r="E15" s="10">
        <v>40</v>
      </c>
      <c r="F15" s="10">
        <v>48</v>
      </c>
      <c r="G15" s="24">
        <v>67</v>
      </c>
      <c r="H15" s="16"/>
      <c r="J15" s="15"/>
      <c r="K15" s="23">
        <v>3</v>
      </c>
      <c r="L15" s="10">
        <v>20</v>
      </c>
      <c r="M15" s="10">
        <v>43</v>
      </c>
      <c r="N15" s="10">
        <v>47</v>
      </c>
      <c r="O15" s="24">
        <v>65</v>
      </c>
      <c r="P15" s="16"/>
      <c r="R15" s="23">
        <v>4</v>
      </c>
      <c r="S15" s="10">
        <v>23</v>
      </c>
      <c r="T15" s="10">
        <v>34</v>
      </c>
      <c r="U15" s="10">
        <v>47</v>
      </c>
      <c r="V15" s="24">
        <v>65</v>
      </c>
    </row>
    <row r="16" spans="2:30" ht="40.5" customHeight="1" x14ac:dyDescent="0.2">
      <c r="B16" s="15"/>
      <c r="C16" s="23">
        <v>8</v>
      </c>
      <c r="D16" s="10">
        <v>22</v>
      </c>
      <c r="E16" s="11" t="s">
        <v>25</v>
      </c>
      <c r="F16" s="10">
        <v>52</v>
      </c>
      <c r="G16" s="24">
        <v>69</v>
      </c>
      <c r="H16" s="16"/>
      <c r="J16" s="15"/>
      <c r="K16" s="23">
        <v>10</v>
      </c>
      <c r="L16" s="10">
        <v>21</v>
      </c>
      <c r="M16" s="11" t="s">
        <v>25</v>
      </c>
      <c r="N16" s="10">
        <v>51</v>
      </c>
      <c r="O16" s="24">
        <v>68</v>
      </c>
      <c r="P16" s="16"/>
      <c r="R16" s="23">
        <v>8</v>
      </c>
      <c r="S16" s="10">
        <v>25</v>
      </c>
      <c r="T16" s="11" t="s">
        <v>25</v>
      </c>
      <c r="U16" s="10">
        <v>50</v>
      </c>
      <c r="V16" s="24">
        <v>70</v>
      </c>
    </row>
    <row r="17" spans="2:22" ht="40.5" customHeight="1" x14ac:dyDescent="0.2">
      <c r="B17" s="15"/>
      <c r="C17" s="23">
        <v>10</v>
      </c>
      <c r="D17" s="10">
        <v>24</v>
      </c>
      <c r="E17" s="10">
        <v>43</v>
      </c>
      <c r="F17" s="10">
        <v>58</v>
      </c>
      <c r="G17" s="24">
        <v>72</v>
      </c>
      <c r="H17" s="16"/>
      <c r="J17" s="15"/>
      <c r="K17" s="23">
        <v>12</v>
      </c>
      <c r="L17" s="10">
        <v>23</v>
      </c>
      <c r="M17" s="10">
        <v>44</v>
      </c>
      <c r="N17" s="10">
        <v>57</v>
      </c>
      <c r="O17" s="24">
        <v>73</v>
      </c>
      <c r="P17" s="16"/>
      <c r="R17" s="23">
        <v>12</v>
      </c>
      <c r="S17" s="10">
        <v>26</v>
      </c>
      <c r="T17" s="10">
        <v>39</v>
      </c>
      <c r="U17" s="10">
        <v>53</v>
      </c>
      <c r="V17" s="24">
        <v>71</v>
      </c>
    </row>
    <row r="18" spans="2:22" ht="40.5" customHeight="1" thickBot="1" x14ac:dyDescent="0.25">
      <c r="B18" s="15"/>
      <c r="C18" s="25">
        <v>11</v>
      </c>
      <c r="D18" s="26">
        <v>26</v>
      </c>
      <c r="E18" s="26">
        <v>44</v>
      </c>
      <c r="F18" s="26">
        <v>59</v>
      </c>
      <c r="G18" s="27">
        <v>75</v>
      </c>
      <c r="H18" s="16"/>
      <c r="J18" s="15"/>
      <c r="K18" s="25">
        <v>14</v>
      </c>
      <c r="L18" s="26">
        <v>29</v>
      </c>
      <c r="M18" s="26">
        <v>45</v>
      </c>
      <c r="N18" s="26">
        <v>58</v>
      </c>
      <c r="O18" s="27">
        <v>74</v>
      </c>
      <c r="P18" s="16"/>
      <c r="R18" s="25">
        <v>13</v>
      </c>
      <c r="S18" s="26">
        <v>29</v>
      </c>
      <c r="T18" s="26">
        <v>43</v>
      </c>
      <c r="U18" s="26">
        <v>58</v>
      </c>
      <c r="V18" s="27">
        <v>72</v>
      </c>
    </row>
    <row r="19" spans="2:22" ht="13.5" thickBot="1" x14ac:dyDescent="0.25">
      <c r="B19" s="17"/>
      <c r="C19" s="18"/>
      <c r="D19" s="18"/>
      <c r="E19" s="18"/>
      <c r="F19" s="18"/>
      <c r="G19" s="18"/>
      <c r="H19" s="19"/>
      <c r="J19" s="17"/>
      <c r="K19" s="18"/>
      <c r="L19" s="18"/>
      <c r="M19" s="18"/>
      <c r="N19" s="18"/>
      <c r="O19" s="18"/>
      <c r="P19" s="19"/>
    </row>
    <row r="20" spans="2:22" ht="13.5" thickBot="1" x14ac:dyDescent="0.25"/>
    <row r="21" spans="2:22" ht="40.5" customHeight="1" thickBot="1" x14ac:dyDescent="0.25">
      <c r="B21" s="12"/>
      <c r="C21" s="13" t="s">
        <v>0</v>
      </c>
      <c r="D21" s="13" t="s">
        <v>1</v>
      </c>
      <c r="E21" s="13" t="s">
        <v>2</v>
      </c>
      <c r="F21" s="13" t="s">
        <v>3</v>
      </c>
      <c r="G21" s="13" t="s">
        <v>4</v>
      </c>
      <c r="H21" s="14"/>
      <c r="J21" s="12"/>
      <c r="K21" s="13" t="s">
        <v>0</v>
      </c>
      <c r="L21" s="13" t="s">
        <v>1</v>
      </c>
      <c r="M21" s="13" t="s">
        <v>2</v>
      </c>
      <c r="N21" s="13" t="s">
        <v>3</v>
      </c>
      <c r="O21" s="13" t="s">
        <v>4</v>
      </c>
      <c r="P21" s="14"/>
    </row>
    <row r="22" spans="2:22" ht="40.5" customHeight="1" x14ac:dyDescent="0.2">
      <c r="B22" s="15"/>
      <c r="C22" s="20">
        <v>2</v>
      </c>
      <c r="D22" s="21">
        <v>16</v>
      </c>
      <c r="E22" s="21">
        <v>31</v>
      </c>
      <c r="F22" s="21">
        <v>46</v>
      </c>
      <c r="G22" s="22">
        <v>63</v>
      </c>
      <c r="H22" s="16"/>
      <c r="J22" s="15"/>
      <c r="K22" s="20">
        <v>2</v>
      </c>
      <c r="L22" s="21">
        <v>18</v>
      </c>
      <c r="M22" s="21">
        <v>33</v>
      </c>
      <c r="N22" s="21">
        <v>46</v>
      </c>
      <c r="O22" s="22">
        <v>64</v>
      </c>
      <c r="P22" s="16"/>
    </row>
    <row r="23" spans="2:22" ht="40.5" customHeight="1" x14ac:dyDescent="0.2">
      <c r="B23" s="15"/>
      <c r="C23" s="23">
        <v>3</v>
      </c>
      <c r="D23" s="10">
        <v>20</v>
      </c>
      <c r="E23" s="10">
        <v>36</v>
      </c>
      <c r="F23" s="10">
        <v>50</v>
      </c>
      <c r="G23" s="24">
        <v>67</v>
      </c>
      <c r="H23" s="16"/>
      <c r="J23" s="15"/>
      <c r="K23" s="23">
        <v>3</v>
      </c>
      <c r="L23" s="10">
        <v>21</v>
      </c>
      <c r="M23" s="10">
        <v>39</v>
      </c>
      <c r="N23" s="10">
        <v>48</v>
      </c>
      <c r="O23" s="24">
        <v>70</v>
      </c>
      <c r="P23" s="16"/>
    </row>
    <row r="24" spans="2:22" ht="40.5" customHeight="1" x14ac:dyDescent="0.2">
      <c r="B24" s="15"/>
      <c r="C24" s="23">
        <v>6</v>
      </c>
      <c r="D24" s="10">
        <v>23</v>
      </c>
      <c r="E24" s="11" t="s">
        <v>25</v>
      </c>
      <c r="F24" s="10">
        <v>51</v>
      </c>
      <c r="G24" s="24">
        <v>72</v>
      </c>
      <c r="H24" s="16"/>
      <c r="J24" s="15"/>
      <c r="K24" s="23">
        <v>7</v>
      </c>
      <c r="L24" s="10">
        <v>26</v>
      </c>
      <c r="M24" s="11" t="s">
        <v>25</v>
      </c>
      <c r="N24" s="10">
        <v>49</v>
      </c>
      <c r="O24" s="24">
        <v>71</v>
      </c>
      <c r="P24" s="16"/>
    </row>
    <row r="25" spans="2:22" ht="40.5" customHeight="1" x14ac:dyDescent="0.2">
      <c r="B25" s="15"/>
      <c r="C25" s="23">
        <v>10</v>
      </c>
      <c r="D25" s="10">
        <v>26</v>
      </c>
      <c r="E25" s="10">
        <v>37</v>
      </c>
      <c r="F25" s="10">
        <v>53</v>
      </c>
      <c r="G25" s="24">
        <v>74</v>
      </c>
      <c r="H25" s="16"/>
      <c r="J25" s="15"/>
      <c r="K25" s="23">
        <v>11</v>
      </c>
      <c r="L25" s="10">
        <v>27</v>
      </c>
      <c r="M25" s="10">
        <v>41</v>
      </c>
      <c r="N25" s="10">
        <v>51</v>
      </c>
      <c r="O25" s="24">
        <v>72</v>
      </c>
      <c r="P25" s="16"/>
    </row>
    <row r="26" spans="2:22" ht="40.5" customHeight="1" thickBot="1" x14ac:dyDescent="0.25">
      <c r="B26" s="15"/>
      <c r="C26" s="25">
        <v>12</v>
      </c>
      <c r="D26" s="26">
        <v>30</v>
      </c>
      <c r="E26" s="26">
        <v>39</v>
      </c>
      <c r="F26" s="26">
        <v>54</v>
      </c>
      <c r="G26" s="27">
        <v>75</v>
      </c>
      <c r="H26" s="16"/>
      <c r="J26" s="15"/>
      <c r="K26" s="25">
        <v>15</v>
      </c>
      <c r="L26" s="26">
        <v>28</v>
      </c>
      <c r="M26" s="26">
        <v>43</v>
      </c>
      <c r="N26" s="26">
        <v>52</v>
      </c>
      <c r="O26" s="27">
        <v>73</v>
      </c>
      <c r="P26" s="16"/>
    </row>
    <row r="27" spans="2:22" ht="13.5" thickBot="1" x14ac:dyDescent="0.25">
      <c r="B27" s="17"/>
      <c r="C27" s="18"/>
      <c r="D27" s="18"/>
      <c r="E27" s="18"/>
      <c r="F27" s="18"/>
      <c r="G27" s="18"/>
      <c r="H27" s="19"/>
      <c r="J27" s="17"/>
      <c r="K27" s="18"/>
      <c r="L27" s="18"/>
      <c r="M27" s="18"/>
      <c r="N27" s="18"/>
      <c r="O27" s="18"/>
      <c r="P27" s="19"/>
    </row>
  </sheetData>
  <sortState ref="V14:V18">
    <sortCondition ref="V14"/>
  </sortState>
  <phoneticPr fontId="2" type="noConversion"/>
  <printOptions horizontalCentered="1" verticalCentered="1"/>
  <pageMargins left="0" right="0" top="0" bottom="0" header="0" footer="0"/>
  <pageSetup paperSize="9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37</vt:i4>
      </vt:variant>
    </vt:vector>
  </HeadingPairs>
  <TitlesOfParts>
    <vt:vector size="40" baseType="lpstr">
      <vt:lpstr>Bingo</vt:lpstr>
      <vt:lpstr>Tablero</vt:lpstr>
      <vt:lpstr>Cartones</vt:lpstr>
      <vt:lpstr>Apagon</vt:lpstr>
      <vt:lpstr>Cartones!Área_de_impresión</vt:lpstr>
      <vt:lpstr>BB</vt:lpstr>
      <vt:lpstr>Bolo</vt:lpstr>
      <vt:lpstr>Bolos</vt:lpstr>
      <vt:lpstr>FF</vt:lpstr>
      <vt:lpstr>Fig</vt:lpstr>
      <vt:lpstr>Figuras</vt:lpstr>
      <vt:lpstr>LetraA</vt:lpstr>
      <vt:lpstr>LetraC</vt:lpstr>
      <vt:lpstr>LetraE</vt:lpstr>
      <vt:lpstr>LetraF</vt:lpstr>
      <vt:lpstr>LetraG</vt:lpstr>
      <vt:lpstr>LetraH</vt:lpstr>
      <vt:lpstr>LetraI</vt:lpstr>
      <vt:lpstr>LetraL</vt:lpstr>
      <vt:lpstr>LetraO</vt:lpstr>
      <vt:lpstr>LetraP</vt:lpstr>
      <vt:lpstr>LetraS</vt:lpstr>
      <vt:lpstr>LetraT</vt:lpstr>
      <vt:lpstr>LetraU</vt:lpstr>
      <vt:lpstr>LetraW</vt:lpstr>
      <vt:lpstr>LetraX</vt:lpstr>
      <vt:lpstr>LetraZ</vt:lpstr>
      <vt:lpstr>Libre</vt:lpstr>
      <vt:lpstr>OK</vt:lpstr>
      <vt:lpstr>pantalla</vt:lpstr>
      <vt:lpstr>SS</vt:lpstr>
      <vt:lpstr>Tabla</vt:lpstr>
      <vt:lpstr>Tarj</vt:lpstr>
      <vt:lpstr>Tarj1</vt:lpstr>
      <vt:lpstr>Tarj2</vt:lpstr>
      <vt:lpstr>Tarj3</vt:lpstr>
      <vt:lpstr>Tarj4</vt:lpstr>
      <vt:lpstr>Tarj5</vt:lpstr>
      <vt:lpstr>Tarj6</vt:lpstr>
      <vt:lpstr>Test</vt:lpstr>
    </vt:vector>
  </TitlesOfParts>
  <Company>Casa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Zegarra</dc:creator>
  <cp:lastModifiedBy>TEMPLARIO</cp:lastModifiedBy>
  <cp:lastPrinted>2008-08-11T23:41:09Z</cp:lastPrinted>
  <dcterms:created xsi:type="dcterms:W3CDTF">2006-09-08T07:38:41Z</dcterms:created>
  <dcterms:modified xsi:type="dcterms:W3CDTF">2013-09-30T04:00:37Z</dcterms:modified>
</cp:coreProperties>
</file>