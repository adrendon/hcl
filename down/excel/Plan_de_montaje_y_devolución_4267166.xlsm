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1889589\Downloads\"/>
    </mc:Choice>
  </mc:AlternateContent>
  <xr:revisionPtr revIDLastSave="0" documentId="13_ncr:1_{00C58447-C029-4DDB-B36D-3C34006EB871}" xr6:coauthVersionLast="47" xr6:coauthVersionMax="47" xr10:uidLastSave="{00000000-0000-0000-0000-000000000000}"/>
  <bookViews>
    <workbookView xWindow="28680" yWindow="-120" windowWidth="20640" windowHeight="11160" tabRatio="821" firstSheet="1" activeTab="2"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13" l="1"/>
  <c r="Q38" i="4"/>
  <c r="R38" i="4" s="1"/>
  <c r="Q39" i="4" s="1"/>
  <c r="R39" i="4" s="1"/>
  <c r="Q40" i="4" s="1"/>
  <c r="R40" i="4" s="1"/>
  <c r="F20" i="13"/>
  <c r="Q55" i="4"/>
  <c r="R55" i="4" s="1"/>
  <c r="F20" i="5"/>
  <c r="T40" i="3"/>
  <c r="T41" i="3"/>
  <c r="T27" i="3"/>
  <c r="T28" i="3"/>
  <c r="T43" i="3"/>
  <c r="T44" i="3"/>
  <c r="T42" i="3"/>
  <c r="T38" i="3"/>
  <c r="T33" i="3"/>
  <c r="T32" i="3"/>
  <c r="T39" i="3"/>
  <c r="T29" i="3"/>
  <c r="T30" i="3"/>
  <c r="V88" i="3"/>
  <c r="Q15" i="4"/>
  <c r="N55" i="4"/>
  <c r="K55" i="4"/>
  <c r="J55" i="4"/>
  <c r="C78" i="3"/>
  <c r="V31" i="3"/>
  <c r="M77" i="3"/>
  <c r="C32" i="4"/>
  <c r="S33" i="4"/>
  <c r="S56" i="4"/>
  <c r="S80" i="4" s="1"/>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D55" i="4"/>
  <c r="I55" i="4"/>
  <c r="L55" i="4" l="1"/>
  <c r="O55" i="4" s="1"/>
  <c r="M5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7"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5"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59"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<sst xmlns="http://schemas.openxmlformats.org/spreadsheetml/2006/main" count="462" uniqueCount="308">
  <si>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</si>
  <si>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</si>
  <si>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</si>
  <si>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</si>
  <si>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</si>
  <si>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</si>
  <si>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</si>
  <si>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</si>
  <si>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</si>
  <si>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</si>
  <si>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</si>
  <si>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</si>
  <si>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</si>
  <si>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</si>
  <si>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</si>
  <si>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</si>
  <si>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</si>
  <si>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</si>
  <si>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</si>
  <si>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</si>
  <si>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</si>
  <si>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</si>
  <si>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</si>
  <si>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</si>
  <si>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</si>
  <si>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</si>
  <si>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</si>
  <si>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</si>
  <si>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</si>
  <si>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</si>
  <si>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</si>
  <si>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</si>
  <si>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</si>
  <si>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</si>
  <si>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</si>
  <si>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</si>
  <si>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</si>
  <si>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</si>
  <si>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</si>
  <si>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</si>
  <si>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</si>
  <si>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</si>
  <si>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</si>
  <si>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</si>
  <si>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</si>
  <si>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</si>
  <si>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</si>
  <si>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</si>
  <si>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</si>
  <si>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</si>
  <si>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</si>
  <si>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</si>
  <si>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</si>
  <si>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</si>
  <si>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</si>
  <si>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</si>
  <si>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</si>
  <si>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</si>
  <si>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</si>
  <si>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</si>
  <si>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</si>
  <si>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</si>
  <si>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</si>
  <si>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</si>
  <si>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</si>
  <si>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</si>
  <si>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</si>
  <si>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</si>
  <si>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</si>
  <si>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</si>
  <si>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</si>
  <si>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</si>
  <si>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</si>
  <si>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</si>
  <si>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</si>
  <si>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</si>
  <si>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</si>
  <si>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</si>
  <si>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</si>
  <si>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</si>
  <si>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</si>
  <si>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</si>
  <si>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</si>
  <si>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</si>
  <si>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</si>
  <si>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</si>
  <si>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</si>
  <si>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</si>
  <si>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</si>
  <si>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</si>
  <si>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</si>
  <si>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</si>
  <si>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</si>
  <si>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</si>
  <si>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</si>
  <si>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</si>
  <si>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</si>
  <si>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</si>
  <si>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</si>
  <si>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</si>
  <si>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</si>
  <si>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</si>
  <si>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</si>
  <si>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</si>
  <si>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</si>
  <si>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</si>
  <si>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</si>
  <si>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</si>
  <si>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</si>
  <si>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</si>
  <si>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</si>
  <si>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</si>
  <si>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</si>
  <si>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</si>
  <si>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</si>
  <si>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</si>
  <si>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</si>
  <si>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</si>
  <si>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</si>
  <si>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</si>
  <si>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</si>
  <si>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</si>
  <si>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</si>
  <si>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</si>
  <si>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</si>
  <si>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</si>
  <si>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</si>
  <si>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</si>
  <si>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</si>
  <si>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</si>
  <si>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</si>
  <si>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</si>
  <si>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</si>
  <si>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</si>
  <si>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</si>
  <si>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</si>
  <si>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</si>
  <si>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</si>
  <si>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</si>
  <si>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</si>
  <si>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</si>
  <si>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</si>
  <si>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</si>
  <si>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</si>
  <si>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</si>
  <si>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</si>
  <si>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</si>
  <si>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</si>
  <si>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</si>
  <si>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</si>
  <si>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</si>
  <si>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</si>
  <si>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</si>
  <si>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</si>
  <si>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</si>
  <si>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</si>
  <si>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</si>
  <si>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</si>
  <si>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</si>
  <si>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</si>
  <si>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</si>
  <si>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</si>
  <si>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</si>
  <si>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</si>
  <si>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</si>
  <si>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</si>
  <si>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</si>
  <si>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</si>
  <si>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</si>
  <si>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</si>
  <si>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</si>
  <si>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</si>
  <si>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</si>
  <si>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</si>
  <si>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</si>
  <si>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</si>
  <si>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</si>
  <si>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</si>
  <si>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</si>
  <si>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</si>
  <si>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</si>
  <si>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</si>
  <si>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</si>
  <si>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</si>
  <si>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</si>
  <si>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</si>
  <si>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</si>
  <si>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</si>
  <si>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</si>
  <si>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</si>
  <si>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</si>
  <si>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</si>
  <si>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</si>
  <si>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</si>
  <si>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</si>
  <si>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</si>
  <si>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</si>
  <si>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</si>
  <si>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</si>
  <si>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</si>
  <si>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</si>
  <si>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</si>
  <si>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</si>
  <si>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</si>
  <si>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</si>
  <si>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</si>
  <si>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</si>
  <si>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</si>
  <si>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</si>
  <si>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</si>
  <si>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</si>
  <si>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</si>
  <si>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</si>
  <si>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</si>
  <si>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</si>
  <si>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</si>
  <si>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</si>
  <si>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</si>
  <si>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</si>
  <si>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</si>
  <si>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</si>
  <si>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</si>
  <si>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</si>
  <si>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</si>
  <si>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</si>
  <si>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</si>
  <si>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</si>
  <si>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</si>
  <si>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</si>
  <si>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</si>
  <si>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</si>
  <si>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</si>
  <si>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</si>
  <si>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</si>
  <si>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</si>
  <si>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</si>
  <si>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</si>
  <si>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</si>
  <si>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</si>
  <si>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</si>
  <si>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</si>
  <si>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</si>
  <si>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</si>
  <si>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</si>
  <si>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</si>
  <si>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</si>
  <si>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</si>
  <si>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</si>
  <si>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</si>
  <si>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</si>
  <si>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</si>
  <si>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</si>
  <si>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</si>
  <si>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</si>
  <si>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</si>
  <si>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</si>
  <si>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</si>
  <si>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</si>
  <si>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</si>
  <si>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</si>
  <si>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</si>
  <si>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</si>
  <si>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</si>
  <si>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</si>
  <si>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</si>
  <si>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IBM Infraestructura</t>
  </si>
  <si>
    <t>Portal -soporte</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</si>
  <si>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</si>
  <si>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</si>
  <si>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</si>
  <si>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</si>
  <si>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</si>
  <si>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</si>
  <si>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</si>
  <si>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</si>
  <si>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</si>
  <si>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</si>
  <si>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</si>
  <si>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</si>
  <si>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</si>
  <si>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</si>
  <si>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</si>
  <si>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</si>
  <si>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</si>
  <si>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</si>
  <si>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</si>
  <si>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</si>
  <si>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</si>
  <si>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</si>
  <si>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</si>
  <si>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</si>
  <si>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</si>
  <si>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</si>
  <si>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</si>
  <si>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</si>
  <si>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</si>
  <si>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</si>
  <si>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</si>
  <si>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</si>
  <si>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</si>
  <si>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</si>
  <si>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Pruebas realizadas por el equipo portal de contenidos</t>
  </si>
  <si>
    <t>CHECK list y toma de evidencias</t>
  </si>
  <si>
    <t>Alexis Rendon</t>
  </si>
  <si>
    <t>Actualización archivo HTACCESS - SITEMAP ambiente 9.0</t>
  </si>
  <si>
    <t>Cordial saludo!
Se solicta desde el área de Negocio -&gt; SEO - Mercadeo Digital actualizar redirecciones tu360Negocios - destino de URL's en el Portal de Contenidos, con el fin de optimizar estrategias de posicionamiento SEO en motores de búsqueda como Google; dicha actividad se hace sobre los archivos de configuración HTACCESS y SITEMAP dentro de los IHS's de los Ambientes de produccion nuevo (9) de IBM Portal .
# -------------------------------#
| Máquinas Produccion Bancolombia|
# -------------------------------#
# -----------------------------#
| Máquinas Produccion version 9|
# -----------------------------#
-Bancolombia
DAL13:
Xrbcpihs05d.bancolombia.com 10.73.73.211
Xrbcpihs06d.bancolombia.com 10.73.73.212
Xrbcpihs07d.bancolombia.com 10.73.73.213
Xrbcpihs08d.bancolombia.com 10.73.73.214
WDC04:
Xrbcpihs05w.bancolombia.com 10.170.194.139
Xrbcpihs06w.bancolombia.com 10.170.194.140
Xrbcpihs07w.bancolombia.com 10.170.194.142
Xrbcpihs08w.bancolombia.com 10.170.194.141
- En éste Ambiente de Producción se debe actualizar los siguientes archivos:
Bancolombia
**Bancolombia.htaccess ( ht9PRODBancolombia.htaccess )
**Banco sitemap.xml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Produccion nuevo (Version 9).
- Actualización Sitemap
• Beneficio: Validar en Ambientes de Producción que la actualización de los archivos HTACCESS cumplan con la reglas de redirección de forma correcta y adicional actualizar el sitemap del sitio.
• Impacto: Bajo, no se genera indisponibilidad del aplicativo en Producción. Se aplica el reinicio por instancia de IHS.</t>
  </si>
  <si>
    <t>Modificar Htaccess - Sitemap</t>
  </si>
  <si>
    <t>Realizar backups  de Htaccess - Sitemap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</si>
</sst>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dd/mmm/yyyy\ hh:mm"/>
  </numFmts>
  <fonts count="73"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6">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xf numFmtId="43" fontId="21" fillId="0" borderId="0" applyFont="0" applyFill="0" applyBorder="0" applyAlignment="0" applyProtection="0"/>
  </cellStyleXfs>
  <cellXfs count="450">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1" xfId="0" applyFill="1" applyBorder="1"/>
    <xf numFmtId="0" fontId="0" fillId="2" borderId="0" xfId="0" applyFill="1"/>
    <xf numFmtId="0" fontId="5" fillId="2" borderId="2" xfId="0" applyFont="1" applyFill="1" applyBorder="1" applyAlignment="1">
      <alignment horizontal="center" wrapText="1"/>
    </xf>
    <xf numFmtId="0" fontId="0" fillId="2" borderId="3" xfId="0" applyFill="1" applyBorder="1"/>
    <xf numFmtId="0" fontId="5" fillId="2" borderId="3" xfId="0" applyFont="1" applyFill="1" applyBorder="1" applyAlignment="1">
      <alignment horizontal="center" wrapText="1"/>
    </xf>
    <xf numFmtId="0" fontId="5" fillId="2" borderId="4" xfId="0" applyFont="1" applyFill="1" applyBorder="1" applyAlignment="1">
      <alignment horizontal="left" wrapText="1"/>
    </xf>
    <xf numFmtId="0" fontId="6" fillId="2" borderId="4" xfId="0" applyFont="1" applyFill="1" applyBorder="1" applyAlignment="1">
      <alignment horizontal="left" wrapText="1"/>
    </xf>
    <xf numFmtId="0" fontId="5" fillId="2" borderId="0" xfId="0" applyFont="1" applyFill="1" applyAlignment="1">
      <alignment horizontal="left" wrapText="1"/>
    </xf>
    <xf numFmtId="0" fontId="6" fillId="2" borderId="0" xfId="0" applyFont="1" applyFill="1" applyAlignment="1">
      <alignment horizontal="left" vertical="center" wrapText="1"/>
    </xf>
    <xf numFmtId="0" fontId="5" fillId="2" borderId="0" xfId="0" applyFont="1" applyFill="1" applyAlignment="1">
      <alignment wrapText="1"/>
    </xf>
    <xf numFmtId="0" fontId="6" fillId="2" borderId="0" xfId="0" applyFont="1" applyFill="1" applyAlignment="1">
      <alignment horizontal="left" wrapText="1"/>
    </xf>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Alignment="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xf numFmtId="0" fontId="11" fillId="0" borderId="11" xfId="4" applyFont="1" applyBorder="1"/>
    <xf numFmtId="0" fontId="16" fillId="0" borderId="0" xfId="4" applyFont="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Alignment="1">
      <alignment wrapText="1"/>
    </xf>
    <xf numFmtId="14" fontId="11" fillId="2" borderId="0" xfId="4" applyNumberFormat="1" applyFont="1" applyFill="1" applyAlignment="1">
      <alignment horizontal="center"/>
    </xf>
    <xf numFmtId="21" fontId="11" fillId="2" borderId="0" xfId="4" applyNumberFormat="1" applyFont="1" applyFill="1" applyAlignment="1">
      <alignment horizontal="center"/>
    </xf>
    <xf numFmtId="0" fontId="11" fillId="2" borderId="0" xfId="4" applyFont="1" applyFill="1" applyAlignment="1">
      <alignment horizontal="center" wrapText="1"/>
    </xf>
    <xf numFmtId="0" fontId="25" fillId="0" borderId="0" xfId="0" applyFont="1" applyAlignment="1">
      <alignment vertical="center" wrapText="1"/>
    </xf>
    <xf numFmtId="0" fontId="0" fillId="5" borderId="0" xfId="0"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Alignment="1">
      <alignment horizontal="center" wrapText="1"/>
    </xf>
    <xf numFmtId="0" fontId="13" fillId="6" borderId="0" xfId="4" applyFont="1" applyFill="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Alignment="1">
      <alignment horizontal="right" vertical="center"/>
    </xf>
    <xf numFmtId="0" fontId="0" fillId="8" borderId="0" xfId="0" applyFill="1"/>
    <xf numFmtId="0" fontId="15" fillId="3" borderId="0" xfId="4" applyFont="1" applyFill="1"/>
    <xf numFmtId="0" fontId="27" fillId="2" borderId="0" xfId="0" applyFont="1" applyFill="1" applyAlignment="1">
      <alignment horizontal="left" vertical="center"/>
    </xf>
    <xf numFmtId="0" fontId="11" fillId="0" borderId="0" xfId="4" applyFont="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Border="1" applyAlignment="1" applyProtection="1">
      <alignment horizontal="center"/>
      <protection locked="0"/>
    </xf>
    <xf numFmtId="21" fontId="11" fillId="0" borderId="15" xfId="4" applyNumberFormat="1" applyFont="1" applyBorder="1" applyAlignment="1" applyProtection="1">
      <alignment horizontal="center"/>
      <protection locked="0"/>
    </xf>
    <xf numFmtId="0" fontId="11" fillId="0" borderId="15" xfId="4" applyFont="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Border="1" applyAlignment="1" applyProtection="1">
      <alignment horizontal="center" wrapText="1"/>
      <protection locked="0"/>
    </xf>
    <xf numFmtId="0" fontId="11" fillId="0" borderId="19" xfId="4" applyFont="1" applyBorder="1" applyAlignment="1" applyProtection="1">
      <alignment horizontal="left" wrapText="1"/>
      <protection locked="0"/>
    </xf>
    <xf numFmtId="0" fontId="11" fillId="23" borderId="0" xfId="4" applyFont="1" applyFill="1" applyAlignment="1" applyProtection="1">
      <alignment horizontal="center" vertical="center" wrapText="1"/>
      <protection locked="0"/>
    </xf>
    <xf numFmtId="0" fontId="11" fillId="23" borderId="0" xfId="4" applyFont="1" applyFill="1" applyAlignment="1">
      <alignment vertical="center" wrapText="1"/>
    </xf>
    <xf numFmtId="0" fontId="11" fillId="0" borderId="10" xfId="4" applyFont="1" applyBorder="1" applyProtection="1">
      <protection locked="0"/>
    </xf>
    <xf numFmtId="0" fontId="11" fillId="0" borderId="0" xfId="4" applyFont="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43" fillId="2" borderId="0" xfId="0" applyFont="1" applyFill="1"/>
    <xf numFmtId="0" fontId="43" fillId="8" borderId="0" xfId="0" applyFont="1" applyFill="1"/>
    <xf numFmtId="0" fontId="0" fillId="23" borderId="0" xfId="0" applyFill="1"/>
    <xf numFmtId="0" fontId="11" fillId="0" borderId="15" xfId="4" applyFont="1" applyBorder="1" applyAlignment="1" applyProtection="1">
      <alignment wrapText="1"/>
      <protection locked="0"/>
    </xf>
    <xf numFmtId="0" fontId="13" fillId="4" borderId="23" xfId="4" applyFont="1" applyFill="1" applyBorder="1" applyAlignment="1" applyProtection="1">
      <alignment horizontal="center" wrapText="1"/>
      <protection locked="0"/>
    </xf>
    <xf numFmtId="0" fontId="5" fillId="23" borderId="0" xfId="0" applyFont="1" applyFill="1" applyAlignment="1" applyProtection="1">
      <alignment vertical="top" wrapText="1"/>
      <protection locked="0"/>
    </xf>
    <xf numFmtId="0" fontId="5" fillId="23" borderId="0" xfId="0" applyFont="1" applyFill="1" applyAlignment="1">
      <alignment wrapText="1"/>
    </xf>
    <xf numFmtId="0" fontId="6" fillId="23" borderId="0" xfId="0" applyFont="1" applyFill="1" applyAlignment="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Alignment="1">
      <alignment horizontal="center" vertical="center"/>
    </xf>
    <xf numFmtId="49" fontId="2" fillId="23" borderId="0" xfId="0" applyNumberFormat="1" applyFont="1" applyFill="1" applyAlignment="1" applyProtection="1">
      <alignment vertical="top" wrapText="1"/>
      <protection locked="0" hidden="1"/>
    </xf>
    <xf numFmtId="0" fontId="43" fillId="23"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Alignment="1">
      <alignment vertical="center"/>
    </xf>
    <xf numFmtId="0" fontId="6" fillId="2" borderId="33" xfId="0" applyFont="1" applyFill="1" applyBorder="1" applyAlignment="1" applyProtection="1">
      <alignment horizontal="center" vertical="center" wrapText="1"/>
      <protection hidden="1"/>
    </xf>
    <xf numFmtId="0" fontId="50" fillId="2" borderId="0" xfId="0" applyFont="1" applyFill="1"/>
    <xf numFmtId="0" fontId="51" fillId="2" borderId="0" xfId="0" applyFont="1" applyFill="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Alignment="1">
      <alignment vertical="center"/>
    </xf>
    <xf numFmtId="0" fontId="0" fillId="8" borderId="0" xfId="0"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6" fillId="2" borderId="0" xfId="0" applyFont="1" applyFill="1" applyAlignment="1" applyProtection="1">
      <alignment horizontal="center" vertical="center" wrapText="1"/>
      <protection hidden="1"/>
    </xf>
    <xf numFmtId="0" fontId="3" fillId="23" borderId="0" xfId="0" applyFont="1" applyFill="1" applyAlignment="1">
      <alignment vertical="center" wrapText="1"/>
    </xf>
    <xf numFmtId="0" fontId="0" fillId="2" borderId="0" xfId="0" applyFill="1" applyAlignment="1">
      <alignment horizontal="left"/>
    </xf>
    <xf numFmtId="0" fontId="0" fillId="2" borderId="4" xfId="0" applyFill="1" applyBorder="1" applyAlignment="1">
      <alignment horizontal="left"/>
    </xf>
    <xf numFmtId="0" fontId="3" fillId="27" borderId="0" xfId="0" applyFont="1" applyFill="1" applyAlignment="1">
      <alignment vertical="center" wrapText="1"/>
    </xf>
    <xf numFmtId="0" fontId="0" fillId="27" borderId="0" xfId="0" applyFill="1"/>
    <xf numFmtId="0" fontId="0" fillId="23" borderId="34" xfId="0" applyFill="1" applyBorder="1"/>
    <xf numFmtId="0" fontId="6" fillId="2" borderId="0" xfId="0" applyFont="1" applyFill="1" applyAlignment="1" applyProtection="1">
      <alignment vertical="center" wrapText="1"/>
      <protection hidden="1"/>
    </xf>
    <xf numFmtId="0" fontId="0" fillId="23" borderId="0" xfId="0" applyFill="1" applyAlignment="1">
      <alignment vertical="center" wrapText="1"/>
    </xf>
    <xf numFmtId="0" fontId="52" fillId="2" borderId="0" xfId="0" applyFont="1" applyFill="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Protection="1">
      <protection locked="0"/>
    </xf>
    <xf numFmtId="0" fontId="11" fillId="9" borderId="18" xfId="4" applyFont="1" applyFill="1" applyBorder="1" applyAlignment="1" applyProtection="1">
      <alignment horizontal="center"/>
      <protection locked="0"/>
    </xf>
    <xf numFmtId="0" fontId="11" fillId="9" borderId="15" xfId="4"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Alignment="1" applyProtection="1">
      <alignment vertical="center"/>
      <protection locked="0"/>
    </xf>
    <xf numFmtId="0" fontId="54" fillId="23" borderId="0" xfId="0" applyFont="1" applyFill="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28" fillId="0" borderId="0" xfId="4" applyFont="1" applyAlignment="1">
      <alignment horizontal="center"/>
    </xf>
    <xf numFmtId="0" fontId="14" fillId="30" borderId="0" xfId="4" applyFont="1" applyFill="1" applyAlignment="1" applyProtection="1">
      <alignment horizontal="left" vertical="center"/>
      <protection hidden="1"/>
    </xf>
    <xf numFmtId="0" fontId="14" fillId="30" borderId="0" xfId="4" applyFont="1" applyFill="1" applyAlignment="1">
      <alignment horizontal="left" vertical="center"/>
    </xf>
    <xf numFmtId="0" fontId="17" fillId="30" borderId="0" xfId="4" applyFont="1" applyFill="1" applyAlignment="1">
      <alignment horizontal="left"/>
    </xf>
    <xf numFmtId="0" fontId="10" fillId="30" borderId="0" xfId="4" applyFont="1" applyFill="1" applyAlignment="1">
      <alignment horizontal="left"/>
    </xf>
    <xf numFmtId="0" fontId="11" fillId="0" borderId="0" xfId="4" applyFont="1" applyAlignment="1" applyProtection="1">
      <alignment horizontal="center"/>
      <protection locked="0"/>
    </xf>
    <xf numFmtId="0" fontId="11" fillId="0" borderId="0" xfId="4" applyFont="1" applyAlignment="1" applyProtection="1">
      <alignment horizontal="center" wrapText="1"/>
      <protection locked="0"/>
    </xf>
    <xf numFmtId="0" fontId="12" fillId="0" borderId="0" xfId="4" applyFont="1" applyAlignment="1" applyProtection="1">
      <alignment horizontal="center" wrapText="1"/>
      <protection locked="0"/>
    </xf>
    <xf numFmtId="22" fontId="16" fillId="0" borderId="15" xfId="4" applyNumberFormat="1" applyFont="1" applyBorder="1" applyAlignment="1" applyProtection="1">
      <alignment horizontal="center" vertical="center"/>
      <protection locked="0"/>
    </xf>
    <xf numFmtId="0" fontId="41" fillId="0" borderId="15" xfId="4" applyFont="1" applyBorder="1" applyAlignment="1" applyProtection="1">
      <alignment horizontal="left" wrapText="1"/>
      <protection locked="0"/>
    </xf>
    <xf numFmtId="0" fontId="0" fillId="23" borderId="4" xfId="0" applyFill="1" applyBorder="1"/>
    <xf numFmtId="0" fontId="5" fillId="23" borderId="0" xfId="0" applyFont="1" applyFill="1" applyAlignment="1" applyProtection="1">
      <alignment horizontal="center" vertical="top" wrapText="1"/>
      <protection locked="0"/>
    </xf>
    <xf numFmtId="0" fontId="5" fillId="23" borderId="0" xfId="0" applyFont="1" applyFill="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Alignment="1" applyProtection="1">
      <alignment horizontal="center" wrapText="1"/>
      <protection locked="0"/>
    </xf>
    <xf numFmtId="0" fontId="11" fillId="0" borderId="0" xfId="4" applyFont="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55" fillId="2" borderId="3" xfId="0" applyFont="1" applyFill="1" applyBorder="1" applyAlignment="1">
      <alignment horizontal="center" wrapText="1"/>
    </xf>
    <xf numFmtId="0" fontId="55" fillId="2" borderId="39" xfId="0" applyFont="1" applyFill="1" applyBorder="1" applyAlignment="1">
      <alignment horizontal="center" wrapText="1"/>
    </xf>
    <xf numFmtId="0" fontId="55" fillId="23" borderId="0" xfId="0" applyFont="1" applyFill="1" applyAlignment="1">
      <alignment wrapText="1"/>
    </xf>
    <xf numFmtId="0" fontId="55" fillId="2" borderId="28" xfId="0" applyFont="1" applyFill="1" applyBorder="1" applyAlignment="1">
      <alignment wrapText="1"/>
    </xf>
    <xf numFmtId="0" fontId="55" fillId="23" borderId="0" xfId="0" applyFont="1" applyFill="1" applyAlignment="1">
      <alignment horizontal="left" wrapText="1"/>
    </xf>
    <xf numFmtId="0" fontId="56" fillId="23" borderId="0" xfId="0" applyFont="1" applyFill="1" applyAlignment="1">
      <alignment horizontal="left" wrapText="1"/>
    </xf>
    <xf numFmtId="1" fontId="44" fillId="2" borderId="28" xfId="0" applyNumberFormat="1" applyFont="1" applyFill="1" applyBorder="1"/>
    <xf numFmtId="0" fontId="44" fillId="23" borderId="0" xfId="0" applyFont="1" applyFill="1"/>
    <xf numFmtId="0" fontId="44" fillId="2" borderId="28" xfId="0" applyFont="1" applyFill="1" applyBorder="1"/>
    <xf numFmtId="0" fontId="55" fillId="23" borderId="0" xfId="0" applyFont="1" applyFill="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Alignment="1" applyProtection="1">
      <alignment horizontal="center" vertical="top" wrapText="1"/>
      <protection locked="0"/>
    </xf>
    <xf numFmtId="0" fontId="55" fillId="23" borderId="0" xfId="0" applyFont="1" applyFill="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 borderId="6" xfId="0" applyFont="1" applyFill="1" applyBorder="1"/>
    <xf numFmtId="0" fontId="44" fillId="2" borderId="42" xfId="0" applyFont="1" applyFill="1" applyBorder="1"/>
    <xf numFmtId="0" fontId="44" fillId="2" borderId="0" xfId="0" applyFont="1" applyFill="1" applyAlignment="1">
      <alignment vertical="center"/>
    </xf>
    <xf numFmtId="0" fontId="44" fillId="2" borderId="11" xfId="0" applyFont="1" applyFill="1" applyBorder="1" applyAlignment="1">
      <alignment vertical="center"/>
    </xf>
    <xf numFmtId="0" fontId="56" fillId="23" borderId="0" xfId="0" applyFont="1" applyFill="1" applyProtection="1">
      <protection hidden="1"/>
    </xf>
    <xf numFmtId="0" fontId="56" fillId="2" borderId="0" xfId="0" applyFont="1" applyFill="1"/>
    <xf numFmtId="0" fontId="56" fillId="23" borderId="11" xfId="0" applyFont="1" applyFill="1" applyBorder="1" applyProtection="1">
      <protection hidden="1"/>
    </xf>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xf numFmtId="49" fontId="57" fillId="23" borderId="0" xfId="0" applyNumberFormat="1" applyFont="1" applyFill="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Alignment="1">
      <alignment vertical="center" wrapText="1"/>
    </xf>
    <xf numFmtId="0" fontId="59" fillId="31" borderId="0" xfId="4" applyFont="1" applyFill="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xf numFmtId="0" fontId="17" fillId="13" borderId="0" xfId="4" applyFont="1" applyFill="1"/>
    <xf numFmtId="0" fontId="60" fillId="32" borderId="0" xfId="4" applyFont="1" applyFill="1"/>
    <xf numFmtId="0" fontId="3" fillId="23" borderId="81" xfId="0" applyFont="1" applyFill="1" applyBorder="1" applyAlignment="1">
      <alignment horizontal="left" vertical="center" wrapText="1" indent="3"/>
    </xf>
    <xf numFmtId="0" fontId="5" fillId="27" borderId="0" xfId="0" applyFont="1" applyFill="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Alignment="1" applyProtection="1">
      <alignment vertical="top" wrapText="1"/>
      <protection locked="0"/>
    </xf>
    <xf numFmtId="0" fontId="43" fillId="2" borderId="0" xfId="0" applyFont="1" applyFill="1" applyAlignment="1" applyProtection="1">
      <alignment vertical="center" wrapText="1"/>
      <protection locked="0"/>
    </xf>
    <xf numFmtId="0" fontId="61" fillId="2" borderId="0" xfId="0" applyFont="1" applyFill="1"/>
    <xf numFmtId="0" fontId="61" fillId="23" borderId="0" xfId="0" applyFont="1" applyFill="1"/>
    <xf numFmtId="0" fontId="43" fillId="23" borderId="11" xfId="0" applyFont="1" applyFill="1" applyBorder="1"/>
    <xf numFmtId="0" fontId="62" fillId="23" borderId="0" xfId="0" applyFont="1" applyFill="1"/>
    <xf numFmtId="0" fontId="62" fillId="23" borderId="0" xfId="0" applyFont="1" applyFill="1" applyProtection="1">
      <protection hidden="1"/>
    </xf>
    <xf numFmtId="0" fontId="11" fillId="27" borderId="0" xfId="4" applyFont="1" applyFill="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Alignment="1" applyProtection="1">
      <alignment horizontal="center"/>
      <protection locked="0"/>
    </xf>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Alignment="1">
      <alignment horizontal="right"/>
    </xf>
    <xf numFmtId="49" fontId="2" fillId="2" borderId="0" xfId="0" applyNumberFormat="1" applyFont="1" applyFill="1"/>
    <xf numFmtId="49" fontId="2" fillId="23" borderId="0" xfId="0" applyNumberFormat="1" applyFont="1" applyFill="1"/>
    <xf numFmtId="49" fontId="2" fillId="0" borderId="0" xfId="0" applyNumberFormat="1" applyFont="1"/>
    <xf numFmtId="0" fontId="2" fillId="23" borderId="0" xfId="0" applyFont="1" applyFill="1"/>
    <xf numFmtId="0" fontId="13" fillId="7" borderId="17" xfId="4" applyFont="1" applyFill="1" applyBorder="1" applyAlignment="1">
      <alignment horizontal="center" vertical="center" wrapText="1"/>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3" fillId="23" borderId="0" xfId="0" applyFont="1" applyFill="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Border="1" applyAlignment="1" applyProtection="1">
      <alignment horizontal="center" vertical="center"/>
      <protection locked="0"/>
    </xf>
    <xf numFmtId="43" fontId="11" fillId="0" borderId="15" xfId="5" applyFont="1" applyFill="1" applyBorder="1" applyAlignment="1" applyProtection="1">
      <alignment horizontal="center"/>
      <protection locked="0"/>
    </xf>
    <xf numFmtId="0" fontId="45" fillId="36" borderId="37" xfId="0" applyFont="1" applyFill="1" applyBorder="1" applyAlignment="1">
      <alignment horizontal="justify" vertical="center" wrapText="1"/>
    </xf>
    <xf numFmtId="0" fontId="45" fillId="36" borderId="0" xfId="0" applyFont="1" applyFill="1" applyAlignment="1">
      <alignment horizontal="justify" vertical="center" wrapText="1"/>
    </xf>
    <xf numFmtId="0" fontId="45" fillId="36" borderId="40" xfId="0" applyFont="1" applyFill="1" applyBorder="1" applyAlignment="1">
      <alignment horizontal="justify" vertical="center"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0" fillId="36" borderId="37" xfId="0" applyFill="1" applyBorder="1" applyAlignment="1">
      <alignment horizontal="justify" vertical="center" wrapText="1"/>
    </xf>
    <xf numFmtId="0" fontId="0" fillId="36" borderId="0" xfId="0" applyFill="1" applyAlignment="1">
      <alignment horizontal="justify" vertical="center" wrapText="1"/>
    </xf>
    <xf numFmtId="0" fontId="0" fillId="36" borderId="40" xfId="0"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0" fillId="35" borderId="93" xfId="0" applyFill="1" applyBorder="1" applyAlignment="1">
      <alignment horizontal="justify" vertical="top" wrapText="1"/>
    </xf>
    <xf numFmtId="0" fontId="0" fillId="35" borderId="94" xfId="0" applyFill="1" applyBorder="1" applyAlignment="1">
      <alignment horizontal="justify" vertical="top" wrapText="1"/>
    </xf>
    <xf numFmtId="0" fontId="0" fillId="35" borderId="95" xfId="0"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Alignment="1">
      <alignment horizontal="left" vertical="center"/>
    </xf>
    <xf numFmtId="0" fontId="3" fillId="23" borderId="81" xfId="0" applyFont="1" applyFill="1" applyBorder="1" applyAlignment="1">
      <alignment horizontal="left" vertical="center" wrapText="1"/>
    </xf>
    <xf numFmtId="0" fontId="7" fillId="2" borderId="53" xfId="0" applyFont="1" applyFill="1" applyBorder="1" applyAlignment="1">
      <alignment vertical="center" wrapText="1"/>
    </xf>
    <xf numFmtId="0" fontId="7" fillId="2" borderId="54" xfId="0" applyFont="1" applyFill="1" applyBorder="1" applyAlignment="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3" fillId="23" borderId="80" xfId="0" applyFont="1" applyFill="1" applyBorder="1" applyAlignment="1">
      <alignment horizontal="left" vertical="center" wrapText="1"/>
    </xf>
    <xf numFmtId="0" fontId="54" fillId="23" borderId="0" xfId="0" applyFont="1" applyFill="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53" fillId="23" borderId="0" xfId="0" applyFont="1" applyFill="1" applyAlignment="1">
      <alignment horizontal="justify" vertical="center" wrapText="1"/>
    </xf>
    <xf numFmtId="0" fontId="7" fillId="2" borderId="53" xfId="0" applyFont="1" applyFill="1" applyBorder="1" applyAlignment="1">
      <alignment horizontal="center" vertical="center" wrapText="1"/>
    </xf>
    <xf numFmtId="0" fontId="7" fillId="2" borderId="54" xfId="0" applyFont="1" applyFill="1" applyBorder="1" applyAlignment="1">
      <alignment horizontal="center" vertical="center" wrapText="1"/>
    </xf>
    <xf numFmtId="0" fontId="70" fillId="23" borderId="0" xfId="0" applyFont="1" applyFill="1" applyAlignment="1">
      <alignment horizontal="left" wrapText="1"/>
    </xf>
    <xf numFmtId="0" fontId="3" fillId="23" borderId="80" xfId="0" applyFont="1" applyFill="1" applyBorder="1" applyAlignment="1">
      <alignment horizontal="left" vertical="center"/>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3" fillId="23" borderId="80" xfId="0" applyFont="1" applyFill="1" applyBorder="1" applyAlignment="1">
      <alignment horizontal="left" vertical="center" wrapText="1" indent="1"/>
    </xf>
    <xf numFmtId="0" fontId="4" fillId="2" borderId="0" xfId="0" applyFont="1" applyFill="1" applyAlignment="1">
      <alignment horizontal="center" vertical="center"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22" fillId="23" borderId="0" xfId="0" applyFont="1" applyFill="1" applyAlignment="1">
      <alignment horizontal="left" vertical="top" wrapText="1"/>
    </xf>
    <xf numFmtId="0" fontId="6" fillId="2" borderId="0" xfId="0" applyFont="1" applyFill="1" applyAlignment="1">
      <alignment horizontal="center" vertical="center"/>
    </xf>
    <xf numFmtId="0" fontId="5" fillId="2" borderId="4"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28" xfId="0" applyFont="1" applyFill="1" applyBorder="1" applyAlignment="1">
      <alignment horizontal="left" vertical="center" wrapText="1"/>
    </xf>
    <xf numFmtId="0" fontId="5" fillId="20" borderId="63" xfId="0" applyFont="1" applyFill="1" applyBorder="1" applyAlignment="1" applyProtection="1">
      <alignment horizontal="justify" vertical="top" wrapText="1"/>
      <protection locked="0"/>
    </xf>
    <xf numFmtId="0" fontId="38" fillId="3" borderId="7" xfId="0" applyFont="1" applyFill="1" applyBorder="1" applyAlignment="1">
      <alignment horizontal="center" vertical="center"/>
    </xf>
    <xf numFmtId="0" fontId="38" fillId="3" borderId="53" xfId="0" applyFont="1" applyFill="1" applyBorder="1" applyAlignment="1">
      <alignment horizontal="center" vertical="center"/>
    </xf>
    <xf numFmtId="0" fontId="38" fillId="3" borderId="54" xfId="0" applyFont="1" applyFill="1" applyBorder="1" applyAlignment="1">
      <alignment horizontal="center" vertical="center"/>
    </xf>
    <xf numFmtId="0" fontId="71" fillId="2" borderId="0" xfId="0" applyFont="1" applyFill="1" applyAlignment="1">
      <alignment horizontal="center" textRotation="90"/>
    </xf>
    <xf numFmtId="0" fontId="72" fillId="2" borderId="0" xfId="0" applyFont="1" applyFill="1" applyAlignment="1">
      <alignment horizontal="center" textRotation="90"/>
    </xf>
    <xf numFmtId="0" fontId="45" fillId="2" borderId="0" xfId="0" applyFont="1" applyFill="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5" fillId="23" borderId="0" xfId="0" applyFont="1" applyFill="1" applyAlignment="1" applyProtection="1">
      <alignment horizontal="left" vertical="top"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3" fillId="23" borderId="0" xfId="0" applyFont="1" applyFill="1" applyAlignment="1">
      <alignment horizontal="left" vertical="center" wrapText="1"/>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0" xfId="0" applyFont="1" applyFill="1" applyAlignment="1">
      <alignment horizontal="center" vertical="center" wrapText="1"/>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0" fontId="6" fillId="2" borderId="37" xfId="0" applyFont="1" applyFill="1" applyBorder="1" applyAlignment="1">
      <alignment horizontal="center" vertical="center" wrapText="1"/>
    </xf>
    <xf numFmtId="0" fontId="6" fillId="2" borderId="0" xfId="0" applyFont="1" applyFill="1" applyAlignment="1">
      <alignment horizontal="center"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Alignment="1">
      <alignment horizontal="justify" vertical="center"/>
    </xf>
    <xf numFmtId="0" fontId="7" fillId="2" borderId="53" xfId="0" applyFont="1" applyFill="1" applyBorder="1" applyAlignment="1">
      <alignment horizontal="left" vertical="center" wrapText="1"/>
    </xf>
    <xf numFmtId="0" fontId="7" fillId="2" borderId="54" xfId="0" applyFont="1" applyFill="1" applyBorder="1" applyAlignment="1">
      <alignment horizontal="left" vertical="center" wrapText="1"/>
    </xf>
    <xf numFmtId="0" fontId="53" fillId="23" borderId="0" xfId="0" applyFont="1" applyFill="1" applyAlignment="1">
      <alignment horizontal="justify" vertical="top" wrapText="1"/>
    </xf>
    <xf numFmtId="0" fontId="0" fillId="2" borderId="0" xfId="0" applyFill="1" applyAlignment="1">
      <alignment horizontal="justify" vertical="top" wrapText="1"/>
    </xf>
    <xf numFmtId="0" fontId="5" fillId="2" borderId="4" xfId="0" applyFont="1" applyFill="1" applyBorder="1" applyAlignment="1">
      <alignment horizontal="left" vertical="top" wrapText="1"/>
    </xf>
    <xf numFmtId="0" fontId="5" fillId="2" borderId="0" xfId="0" applyFont="1" applyFill="1" applyAlignment="1">
      <alignment horizontal="left" vertical="top" wrapText="1"/>
    </xf>
    <xf numFmtId="0" fontId="5" fillId="2" borderId="28" xfId="0" applyFont="1" applyFill="1" applyBorder="1" applyAlignment="1">
      <alignment horizontal="left" vertical="top"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49" fontId="8" fillId="2" borderId="0" xfId="0" applyNumberFormat="1" applyFont="1" applyFill="1" applyAlignment="1">
      <alignment horizontal="right" vertical="center" wrapText="1"/>
    </xf>
    <xf numFmtId="49" fontId="8" fillId="2" borderId="55" xfId="0" applyNumberFormat="1" applyFont="1" applyFill="1" applyBorder="1" applyAlignment="1">
      <alignment horizontal="right" vertical="center" wrapText="1"/>
    </xf>
    <xf numFmtId="49" fontId="8" fillId="2" borderId="56" xfId="0" applyNumberFormat="1" applyFont="1" applyFill="1" applyBorder="1" applyAlignment="1">
      <alignment horizontal="right" vertical="center" wrapText="1"/>
    </xf>
    <xf numFmtId="0" fontId="0" fillId="2" borderId="0" xfId="0" applyFill="1" applyAlignment="1">
      <alignment horizontal="justify" vertical="center" wrapText="1"/>
    </xf>
    <xf numFmtId="0" fontId="0" fillId="2" borderId="0" xfId="0" applyFill="1" applyAlignment="1">
      <alignment horizontal="justify" vertical="center"/>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28" fillId="4" borderId="0" xfId="4" applyFont="1" applyFill="1" applyAlignment="1">
      <alignment horizontal="center"/>
    </xf>
    <xf numFmtId="0" fontId="17" fillId="13" borderId="0" xfId="4" applyFont="1" applyFill="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Alignment="1" applyProtection="1">
      <alignment horizontal="left" vertical="center" wrapText="1"/>
      <protection hidden="1"/>
    </xf>
    <xf numFmtId="0" fontId="11" fillId="27" borderId="0" xfId="4" applyFont="1" applyFill="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Border="1" applyAlignment="1" applyProtection="1">
      <alignment horizontal="center" vertical="center"/>
      <protection locked="0"/>
    </xf>
    <xf numFmtId="22" fontId="16" fillId="0" borderId="23" xfId="4" applyNumberFormat="1" applyFont="1" applyBorder="1" applyAlignment="1" applyProtection="1">
      <alignment horizontal="center" vertical="center"/>
      <protection locked="0"/>
    </xf>
    <xf numFmtId="0" fontId="15" fillId="3" borderId="0" xfId="4" applyFont="1" applyFill="1" applyAlignment="1">
      <alignment horizontal="center" vertical="center"/>
    </xf>
    <xf numFmtId="0" fontId="10" fillId="14" borderId="75" xfId="4" applyFont="1" applyFill="1" applyBorder="1" applyAlignment="1">
      <alignment horizontal="center"/>
    </xf>
    <xf numFmtId="0" fontId="10" fillId="14" borderId="0" xfId="4" applyFont="1" applyFill="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6">
    <cellStyle name="Hipervínculo" xfId="1" builtinId="8"/>
    <cellStyle name="Hipervínculo 2" xfId="2" xr:uid="{00000000-0005-0000-0000-000001000000}"/>
    <cellStyle name="Millares" xfId="3" builtinId="3"/>
    <cellStyle name="Millares 2" xfId="5" xr:uid="{452C7E65-D550-443C-BCC4-F52E8022CF7E}"/>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2</xdr:row>
      <xdr:rowOff>1832</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44140625" defaultRowHeight="14.4" x14ac:dyDescent="0.3"/>
  <cols>
    <col min="1" max="1" width="11.44140625" customWidth="1"/>
    <col min="2" max="2" width="46.88671875" style="1" customWidth="1"/>
    <col min="3" max="3" width="6.88671875" style="3" customWidth="1"/>
    <col min="4" max="4" width="15.88671875" style="1" customWidth="1"/>
    <col min="5" max="5" width="11.44140625" style="1" customWidth="1"/>
    <col min="6" max="6" width="11.44140625" style="3" customWidth="1"/>
  </cols>
  <sheetData>
    <row r="1" spans="2:7" x14ac:dyDescent="0.3">
      <c r="B1" s="263" t="s">
        <v>0</v>
      </c>
      <c r="F1" s="90"/>
      <c r="G1" s="3"/>
    </row>
    <row r="2" spans="2:7" x14ac:dyDescent="0.3">
      <c r="B2" s="55" t="s">
        <v>1</v>
      </c>
      <c r="E2" s="55"/>
      <c r="F2" s="55"/>
      <c r="G2" s="3"/>
    </row>
    <row r="3" spans="2:7" x14ac:dyDescent="0.3">
      <c r="B3" s="1" t="s">
        <v>2</v>
      </c>
      <c r="C3" s="3" t="s">
        <v>3</v>
      </c>
      <c r="F3" s="1"/>
      <c r="G3" s="3"/>
    </row>
    <row r="4" spans="2:7" x14ac:dyDescent="0.3">
      <c r="B4" s="1" t="s">
        <v>4</v>
      </c>
      <c r="C4" s="3">
        <v>0</v>
      </c>
      <c r="F4" s="1"/>
      <c r="G4" s="3"/>
    </row>
    <row r="5" spans="2:7" x14ac:dyDescent="0.3">
      <c r="B5" s="1" t="s">
        <v>5</v>
      </c>
      <c r="C5" s="3">
        <v>1</v>
      </c>
      <c r="F5" s="1"/>
      <c r="G5" s="3"/>
    </row>
    <row r="6" spans="2:7" x14ac:dyDescent="0.3">
      <c r="B6" s="1" t="s">
        <v>6</v>
      </c>
      <c r="C6" s="3">
        <v>2</v>
      </c>
      <c r="F6" s="1"/>
      <c r="G6" s="3"/>
    </row>
    <row r="7" spans="2:7" x14ac:dyDescent="0.3">
      <c r="B7" s="1" t="s">
        <v>7</v>
      </c>
      <c r="C7" s="3">
        <v>3</v>
      </c>
      <c r="F7" s="1"/>
      <c r="G7" s="3"/>
    </row>
    <row r="8" spans="2:7" x14ac:dyDescent="0.3">
      <c r="B8" s="1" t="s">
        <v>8</v>
      </c>
      <c r="C8" s="3">
        <v>4</v>
      </c>
      <c r="F8" s="1"/>
      <c r="G8" s="3"/>
    </row>
    <row r="9" spans="2:7" ht="14.25" customHeight="1" x14ac:dyDescent="0.3">
      <c r="B9" s="56" t="s">
        <v>9</v>
      </c>
      <c r="C9" s="3">
        <v>5</v>
      </c>
      <c r="F9" s="56"/>
      <c r="G9" s="3"/>
    </row>
    <row r="10" spans="2:7" ht="6.75" customHeight="1" x14ac:dyDescent="0.3">
      <c r="B10" s="56"/>
      <c r="F10" s="56"/>
      <c r="G10" s="3"/>
    </row>
    <row r="11" spans="2:7" x14ac:dyDescent="0.3">
      <c r="B11" s="55" t="s">
        <v>10</v>
      </c>
      <c r="F11" s="55"/>
      <c r="G11" s="3"/>
    </row>
    <row r="12" spans="2:7" x14ac:dyDescent="0.3">
      <c r="B12" s="1" t="s">
        <v>2</v>
      </c>
      <c r="C12" s="1" t="s">
        <v>3</v>
      </c>
      <c r="F12" s="1"/>
      <c r="G12" s="1"/>
    </row>
    <row r="13" spans="2:7" x14ac:dyDescent="0.3">
      <c r="B13" s="1" t="s">
        <v>11</v>
      </c>
      <c r="C13" s="3">
        <v>1</v>
      </c>
      <c r="F13" s="1"/>
      <c r="G13" s="3"/>
    </row>
    <row r="14" spans="2:7" x14ac:dyDescent="0.3">
      <c r="B14" s="1" t="s">
        <v>12</v>
      </c>
      <c r="C14" s="3">
        <v>2</v>
      </c>
      <c r="F14" s="1"/>
      <c r="G14" s="3"/>
    </row>
    <row r="15" spans="2:7" x14ac:dyDescent="0.3">
      <c r="B15" s="1" t="s">
        <v>13</v>
      </c>
      <c r="C15" s="3">
        <v>3</v>
      </c>
      <c r="F15" s="1"/>
      <c r="G15" s="3"/>
    </row>
    <row r="16" spans="2:7" x14ac:dyDescent="0.3">
      <c r="B16" s="1" t="s">
        <v>14</v>
      </c>
      <c r="C16" s="3">
        <v>4</v>
      </c>
      <c r="F16" s="1"/>
      <c r="G16" s="3"/>
    </row>
    <row r="17" spans="2:7" ht="8.25" customHeight="1" x14ac:dyDescent="0.3">
      <c r="F17" s="1"/>
      <c r="G17" s="3"/>
    </row>
    <row r="18" spans="2:7" x14ac:dyDescent="0.3">
      <c r="B18" s="55" t="s">
        <v>15</v>
      </c>
      <c r="F18" s="55"/>
      <c r="G18" s="3"/>
    </row>
    <row r="19" spans="2:7" x14ac:dyDescent="0.3">
      <c r="B19" s="1" t="s">
        <v>2</v>
      </c>
      <c r="C19" s="3" t="s">
        <v>3</v>
      </c>
      <c r="F19" s="1"/>
      <c r="G19" s="3"/>
    </row>
    <row r="20" spans="2:7" x14ac:dyDescent="0.3">
      <c r="B20" s="1" t="s">
        <v>16</v>
      </c>
      <c r="C20" s="3">
        <v>1</v>
      </c>
      <c r="F20" s="1"/>
      <c r="G20" s="3"/>
    </row>
    <row r="21" spans="2:7" x14ac:dyDescent="0.3">
      <c r="B21" s="1" t="s">
        <v>17</v>
      </c>
      <c r="C21" s="3">
        <v>2</v>
      </c>
      <c r="F21" s="1"/>
      <c r="G21" s="3"/>
    </row>
    <row r="22" spans="2:7" x14ac:dyDescent="0.3">
      <c r="B22" s="1" t="s">
        <v>18</v>
      </c>
      <c r="C22" s="3">
        <v>3</v>
      </c>
      <c r="F22" s="1"/>
      <c r="G22" s="3"/>
    </row>
    <row r="23" spans="2:7" x14ac:dyDescent="0.3">
      <c r="B23" s="1" t="s">
        <v>19</v>
      </c>
      <c r="C23" s="3">
        <v>4</v>
      </c>
      <c r="F23" s="1"/>
      <c r="G23" s="3"/>
    </row>
    <row r="24" spans="2:7" ht="6.75" customHeight="1" x14ac:dyDescent="0.3">
      <c r="F24" s="1"/>
      <c r="G24" s="3"/>
    </row>
    <row r="25" spans="2:7" x14ac:dyDescent="0.3">
      <c r="B25" s="55" t="s">
        <v>20</v>
      </c>
      <c r="F25" s="55"/>
      <c r="G25" s="3"/>
    </row>
    <row r="26" spans="2:7" x14ac:dyDescent="0.3">
      <c r="B26" s="1" t="s">
        <v>2</v>
      </c>
      <c r="C26" s="3" t="s">
        <v>3</v>
      </c>
      <c r="F26" s="1"/>
      <c r="G26" s="3"/>
    </row>
    <row r="27" spans="2:7" x14ac:dyDescent="0.3">
      <c r="B27" s="1" t="s">
        <v>21</v>
      </c>
      <c r="C27" s="3">
        <v>1</v>
      </c>
      <c r="F27" s="1"/>
      <c r="G27" s="3"/>
    </row>
    <row r="28" spans="2:7" x14ac:dyDescent="0.3">
      <c r="B28" s="1" t="s">
        <v>22</v>
      </c>
      <c r="C28" s="3">
        <v>2</v>
      </c>
      <c r="F28" s="1"/>
      <c r="G28" s="3"/>
    </row>
    <row r="29" spans="2:7" x14ac:dyDescent="0.3">
      <c r="B29" s="1" t="s">
        <v>23</v>
      </c>
      <c r="C29" s="3">
        <v>3</v>
      </c>
      <c r="F29" s="1"/>
      <c r="G29" s="3"/>
    </row>
    <row r="30" spans="2:7" x14ac:dyDescent="0.3">
      <c r="B30" s="1" t="s">
        <v>24</v>
      </c>
      <c r="C30" s="3">
        <v>4</v>
      </c>
      <c r="F30" s="1"/>
      <c r="G30" s="3"/>
    </row>
    <row r="31" spans="2:7" x14ac:dyDescent="0.3">
      <c r="B31" s="1" t="s">
        <v>25</v>
      </c>
      <c r="C31" s="3">
        <v>5</v>
      </c>
      <c r="F31" s="1"/>
      <c r="G31" s="3"/>
    </row>
    <row r="32" spans="2:7" ht="7.5" customHeight="1" x14ac:dyDescent="0.3">
      <c r="F32" s="1"/>
      <c r="G32" s="3"/>
    </row>
    <row r="33" spans="2:7" x14ac:dyDescent="0.3">
      <c r="B33" s="55" t="s">
        <v>26</v>
      </c>
      <c r="F33" s="55"/>
      <c r="G33" s="3"/>
    </row>
    <row r="34" spans="2:7" x14ac:dyDescent="0.3">
      <c r="B34" s="1" t="s">
        <v>2</v>
      </c>
      <c r="C34" s="3" t="s">
        <v>3</v>
      </c>
      <c r="F34" s="1"/>
      <c r="G34" s="3"/>
    </row>
    <row r="35" spans="2:7" x14ac:dyDescent="0.3">
      <c r="B35" s="1" t="s">
        <v>27</v>
      </c>
      <c r="C35" s="3">
        <v>1</v>
      </c>
      <c r="F35" s="1"/>
      <c r="G35" s="3"/>
    </row>
    <row r="36" spans="2:7" x14ac:dyDescent="0.3">
      <c r="B36" s="1" t="s">
        <v>28</v>
      </c>
      <c r="C36" s="3">
        <v>2</v>
      </c>
      <c r="F36" s="1"/>
      <c r="G36" s="3"/>
    </row>
    <row r="37" spans="2:7" x14ac:dyDescent="0.3">
      <c r="B37" s="1" t="s">
        <v>29</v>
      </c>
      <c r="C37" s="3">
        <v>3</v>
      </c>
      <c r="F37" s="1"/>
      <c r="G37" s="3"/>
    </row>
    <row r="38" spans="2:7" x14ac:dyDescent="0.3">
      <c r="B38" s="1" t="s">
        <v>30</v>
      </c>
      <c r="C38" s="3">
        <v>4</v>
      </c>
      <c r="F38" s="1"/>
      <c r="G38" s="3"/>
    </row>
    <row r="39" spans="2:7" x14ac:dyDescent="0.3">
      <c r="B39" s="1" t="s">
        <v>31</v>
      </c>
      <c r="C39" s="3">
        <v>5</v>
      </c>
      <c r="F39" s="1"/>
      <c r="G39" s="3"/>
    </row>
    <row r="40" spans="2:7" ht="8.25" customHeight="1" x14ac:dyDescent="0.3">
      <c r="F40" s="1"/>
      <c r="G40" s="3"/>
    </row>
    <row r="41" spans="2:7" x14ac:dyDescent="0.3">
      <c r="B41" s="55" t="s">
        <v>32</v>
      </c>
      <c r="F41" s="55"/>
      <c r="G41" s="3"/>
    </row>
    <row r="42" spans="2:7" x14ac:dyDescent="0.3">
      <c r="B42" s="1" t="s">
        <v>2</v>
      </c>
      <c r="C42" s="3" t="s">
        <v>3</v>
      </c>
      <c r="F42" s="1"/>
      <c r="G42" s="3"/>
    </row>
    <row r="43" spans="2:7" x14ac:dyDescent="0.3">
      <c r="B43" s="1" t="s">
        <v>4</v>
      </c>
      <c r="C43" s="3">
        <v>0</v>
      </c>
      <c r="F43" s="1"/>
      <c r="G43" s="3"/>
    </row>
    <row r="44" spans="2:7" x14ac:dyDescent="0.3">
      <c r="B44" s="1" t="s">
        <v>33</v>
      </c>
      <c r="C44" s="3">
        <v>2</v>
      </c>
      <c r="F44" s="1"/>
      <c r="G44" s="3"/>
    </row>
    <row r="45" spans="2:7" x14ac:dyDescent="0.3">
      <c r="B45" s="1" t="s">
        <v>34</v>
      </c>
      <c r="C45" s="3">
        <v>3</v>
      </c>
      <c r="F45" s="1"/>
      <c r="G45" s="3"/>
    </row>
    <row r="46" spans="2:7" x14ac:dyDescent="0.3">
      <c r="B46" s="1" t="s">
        <v>35</v>
      </c>
      <c r="C46" s="3">
        <v>5</v>
      </c>
      <c r="F46" s="1"/>
      <c r="G46" s="3"/>
    </row>
    <row r="47" spans="2:7" x14ac:dyDescent="0.3">
      <c r="B47" s="1" t="s">
        <v>36</v>
      </c>
      <c r="C47" s="3">
        <v>6</v>
      </c>
      <c r="F47" s="1"/>
      <c r="G47" s="3"/>
    </row>
    <row r="48" spans="2:7" ht="7.5" customHeight="1" x14ac:dyDescent="0.3">
      <c r="F48" s="1"/>
      <c r="G48" s="3"/>
    </row>
    <row r="49" spans="2:13" x14ac:dyDescent="0.3">
      <c r="B49" s="263" t="s">
        <v>37</v>
      </c>
      <c r="F49" s="90"/>
      <c r="G49" s="3"/>
      <c r="M49" t="b">
        <v>0</v>
      </c>
    </row>
    <row r="50" spans="2:13" x14ac:dyDescent="0.3">
      <c r="B50" s="55" t="s">
        <v>38</v>
      </c>
      <c r="F50" s="55"/>
      <c r="G50" s="3"/>
    </row>
    <row r="51" spans="2:13" x14ac:dyDescent="0.3">
      <c r="B51" s="1" t="s">
        <v>2</v>
      </c>
      <c r="C51" s="3" t="s">
        <v>3</v>
      </c>
      <c r="F51" s="1"/>
      <c r="G51" s="3"/>
    </row>
    <row r="52" spans="2:13" ht="28.8" x14ac:dyDescent="0.3">
      <c r="B52" s="2" t="s">
        <v>39</v>
      </c>
      <c r="C52" s="3">
        <v>1</v>
      </c>
      <c r="F52" s="2"/>
      <c r="G52" s="3"/>
    </row>
    <row r="53" spans="2:13" ht="28.8" x14ac:dyDescent="0.3">
      <c r="B53" s="2" t="s">
        <v>40</v>
      </c>
      <c r="C53" s="3">
        <v>3</v>
      </c>
      <c r="F53" s="2"/>
      <c r="G53" s="3"/>
    </row>
    <row r="54" spans="2:13" ht="31.2" x14ac:dyDescent="0.3">
      <c r="B54" s="39" t="s">
        <v>41</v>
      </c>
      <c r="C54" s="3">
        <v>4</v>
      </c>
      <c r="F54" s="39"/>
      <c r="G54" s="3"/>
    </row>
    <row r="55" spans="2:13" ht="15.6" x14ac:dyDescent="0.3">
      <c r="B55" s="39" t="s">
        <v>42</v>
      </c>
      <c r="C55" s="3">
        <v>4</v>
      </c>
      <c r="F55" s="39"/>
      <c r="G55" s="3"/>
    </row>
    <row r="56" spans="2:13" ht="18" customHeight="1" x14ac:dyDescent="0.3">
      <c r="B56" s="2" t="s">
        <v>43</v>
      </c>
      <c r="C56" s="3">
        <v>5</v>
      </c>
      <c r="F56" s="2"/>
      <c r="G56" s="3"/>
    </row>
    <row r="57" spans="2:13" ht="8.25" customHeight="1" x14ac:dyDescent="0.3">
      <c r="B57" s="2"/>
      <c r="F57" s="2"/>
      <c r="G57" s="3"/>
    </row>
    <row r="58" spans="2:13" x14ac:dyDescent="0.3">
      <c r="B58" s="55" t="s">
        <v>44</v>
      </c>
      <c r="F58" s="55"/>
      <c r="G58" s="3"/>
    </row>
    <row r="59" spans="2:13" x14ac:dyDescent="0.3">
      <c r="B59" s="1" t="s">
        <v>2</v>
      </c>
      <c r="C59" s="3" t="s">
        <v>3</v>
      </c>
      <c r="F59" s="1"/>
      <c r="G59" s="3"/>
    </row>
    <row r="60" spans="2:13" x14ac:dyDescent="0.3">
      <c r="B60" s="1" t="s">
        <v>45</v>
      </c>
      <c r="C60" s="3">
        <v>0</v>
      </c>
      <c r="F60" s="1"/>
      <c r="G60" s="3"/>
    </row>
    <row r="61" spans="2:13" x14ac:dyDescent="0.3">
      <c r="B61" s="2" t="s">
        <v>46</v>
      </c>
      <c r="C61" s="3">
        <v>1</v>
      </c>
      <c r="F61" s="2"/>
      <c r="G61" s="3"/>
    </row>
    <row r="62" spans="2:13" ht="28.8" x14ac:dyDescent="0.3">
      <c r="B62" s="2" t="s">
        <v>47</v>
      </c>
      <c r="C62" s="3">
        <v>2</v>
      </c>
      <c r="F62" s="2"/>
      <c r="G62" s="3"/>
    </row>
    <row r="63" spans="2:13" ht="28.8" x14ac:dyDescent="0.3">
      <c r="B63" s="2" t="s">
        <v>48</v>
      </c>
      <c r="C63" s="3">
        <v>3</v>
      </c>
      <c r="F63" s="2"/>
      <c r="G63" s="3"/>
    </row>
    <row r="64" spans="2:13" x14ac:dyDescent="0.3">
      <c r="B64" s="2" t="s">
        <v>49</v>
      </c>
      <c r="C64" s="3">
        <v>5</v>
      </c>
      <c r="F64" s="2"/>
      <c r="G64" s="3"/>
    </row>
    <row r="65" spans="2:7" ht="9" customHeight="1" x14ac:dyDescent="0.3">
      <c r="B65" s="2"/>
      <c r="F65" s="2"/>
      <c r="G65" s="3"/>
    </row>
    <row r="66" spans="2:7" x14ac:dyDescent="0.3">
      <c r="B66" s="89" t="s">
        <v>50</v>
      </c>
      <c r="F66" s="89"/>
      <c r="G66" s="3"/>
    </row>
    <row r="67" spans="2:7" x14ac:dyDescent="0.3">
      <c r="B67" s="1" t="s">
        <v>2</v>
      </c>
      <c r="C67" s="3" t="s">
        <v>3</v>
      </c>
      <c r="F67" s="1"/>
      <c r="G67" s="3"/>
    </row>
    <row r="68" spans="2:7" x14ac:dyDescent="0.3">
      <c r="B68" s="2" t="s">
        <v>51</v>
      </c>
      <c r="C68" s="3">
        <v>2</v>
      </c>
      <c r="F68" s="2"/>
      <c r="G68" s="3"/>
    </row>
    <row r="69" spans="2:7" x14ac:dyDescent="0.3">
      <c r="B69" s="2" t="s">
        <v>52</v>
      </c>
      <c r="C69" s="3">
        <v>3</v>
      </c>
      <c r="F69" s="2"/>
      <c r="G69" s="3"/>
    </row>
    <row r="70" spans="2:7" ht="28.8" x14ac:dyDescent="0.3">
      <c r="B70" s="2" t="s">
        <v>53</v>
      </c>
      <c r="C70" s="3">
        <v>4</v>
      </c>
      <c r="E70" s="2"/>
      <c r="F70" s="2"/>
      <c r="G70" s="3"/>
    </row>
    <row r="71" spans="2:7" x14ac:dyDescent="0.3">
      <c r="B71" s="2" t="s">
        <v>54</v>
      </c>
      <c r="C71" s="3">
        <v>4</v>
      </c>
      <c r="F71" s="2"/>
      <c r="G71" s="3"/>
    </row>
    <row r="72" spans="2:7" x14ac:dyDescent="0.3">
      <c r="B72" s="2" t="s">
        <v>55</v>
      </c>
      <c r="C72" s="3">
        <v>5</v>
      </c>
      <c r="F72" s="2"/>
      <c r="G72" s="3"/>
    </row>
    <row r="73" spans="2:7" ht="10.5" customHeight="1" x14ac:dyDescent="0.3">
      <c r="B73" s="2"/>
    </row>
    <row r="74" spans="2:7" x14ac:dyDescent="0.3">
      <c r="B74" s="89" t="s">
        <v>56</v>
      </c>
      <c r="F74" s="89"/>
      <c r="G74" s="3"/>
    </row>
    <row r="75" spans="2:7" x14ac:dyDescent="0.3">
      <c r="B75" s="1" t="s">
        <v>2</v>
      </c>
      <c r="C75" s="3" t="s">
        <v>3</v>
      </c>
      <c r="F75" s="1"/>
      <c r="G75" s="3"/>
    </row>
    <row r="76" spans="2:7" x14ac:dyDescent="0.3">
      <c r="B76" s="1" t="s">
        <v>57</v>
      </c>
      <c r="C76" s="3">
        <v>0</v>
      </c>
      <c r="F76" s="1"/>
      <c r="G76" s="3"/>
    </row>
    <row r="77" spans="2:7" x14ac:dyDescent="0.3">
      <c r="B77" s="2" t="s">
        <v>58</v>
      </c>
      <c r="C77" s="3">
        <v>1</v>
      </c>
      <c r="F77" s="2"/>
      <c r="G77" s="3"/>
    </row>
    <row r="78" spans="2:7" x14ac:dyDescent="0.3">
      <c r="B78" s="2" t="s">
        <v>59</v>
      </c>
      <c r="C78" s="3">
        <v>2</v>
      </c>
      <c r="F78" s="2"/>
      <c r="G78" s="3"/>
    </row>
    <row r="79" spans="2:7" ht="33" customHeight="1" x14ac:dyDescent="0.3">
      <c r="B79" s="2" t="s">
        <v>60</v>
      </c>
      <c r="C79" s="3">
        <v>3</v>
      </c>
      <c r="F79" s="2"/>
      <c r="G79" s="3"/>
    </row>
    <row r="80" spans="2:7" x14ac:dyDescent="0.3">
      <c r="B80" s="2" t="s">
        <v>61</v>
      </c>
      <c r="C80" s="3">
        <v>5</v>
      </c>
      <c r="F80" s="2"/>
      <c r="G80" s="3"/>
    </row>
    <row r="81" spans="2:7" ht="7.5" customHeight="1" x14ac:dyDescent="0.3">
      <c r="B81" s="2"/>
    </row>
    <row r="82" spans="2:7" x14ac:dyDescent="0.3">
      <c r="B82" s="89" t="s">
        <v>62</v>
      </c>
      <c r="F82" s="89"/>
      <c r="G82" s="3"/>
    </row>
    <row r="83" spans="2:7" x14ac:dyDescent="0.3">
      <c r="B83" s="1" t="s">
        <v>2</v>
      </c>
      <c r="C83" s="3" t="s">
        <v>3</v>
      </c>
      <c r="F83" s="1"/>
      <c r="G83" s="3"/>
    </row>
    <row r="84" spans="2:7" x14ac:dyDescent="0.3">
      <c r="B84" s="1" t="s">
        <v>63</v>
      </c>
      <c r="C84" s="3">
        <v>0</v>
      </c>
      <c r="F84" s="1"/>
      <c r="G84" s="3"/>
    </row>
    <row r="85" spans="2:7" x14ac:dyDescent="0.3">
      <c r="B85" s="2" t="s">
        <v>64</v>
      </c>
      <c r="C85" s="3">
        <v>0</v>
      </c>
      <c r="F85" s="2"/>
      <c r="G85" s="3"/>
    </row>
    <row r="86" spans="2:7" ht="28.8" x14ac:dyDescent="0.3">
      <c r="B86" s="2" t="s">
        <v>65</v>
      </c>
      <c r="C86" s="3">
        <v>2</v>
      </c>
      <c r="F86" s="2"/>
      <c r="G86" s="3"/>
    </row>
    <row r="87" spans="2:7" ht="28.8" x14ac:dyDescent="0.3">
      <c r="B87" s="2" t="s">
        <v>66</v>
      </c>
      <c r="C87" s="3">
        <v>2</v>
      </c>
      <c r="F87" s="2"/>
      <c r="G87" s="3"/>
    </row>
    <row r="88" spans="2:7" ht="16.5" customHeight="1" x14ac:dyDescent="0.3">
      <c r="B88" s="2" t="s">
        <v>67</v>
      </c>
      <c r="C88" s="3">
        <v>5</v>
      </c>
      <c r="F88" s="2"/>
      <c r="G88" s="3"/>
    </row>
    <row r="89" spans="2:7" ht="6" customHeight="1" x14ac:dyDescent="0.3">
      <c r="B89" s="2"/>
    </row>
    <row r="90" spans="2:7" x14ac:dyDescent="0.3">
      <c r="B90" s="89" t="s">
        <v>68</v>
      </c>
      <c r="F90" s="89"/>
      <c r="G90" s="3"/>
    </row>
    <row r="91" spans="2:7" x14ac:dyDescent="0.3">
      <c r="B91" s="1" t="s">
        <v>2</v>
      </c>
      <c r="C91" s="3" t="s">
        <v>3</v>
      </c>
      <c r="F91" s="1"/>
      <c r="G91" s="3"/>
    </row>
    <row r="92" spans="2:7" x14ac:dyDescent="0.3">
      <c r="B92" s="2" t="s">
        <v>69</v>
      </c>
      <c r="C92" s="3">
        <v>0</v>
      </c>
      <c r="F92" s="2"/>
      <c r="G92" s="3"/>
    </row>
    <row r="93" spans="2:7" ht="28.8" x14ac:dyDescent="0.3">
      <c r="B93" s="2" t="s">
        <v>70</v>
      </c>
      <c r="C93" s="3">
        <v>1</v>
      </c>
      <c r="F93" s="2"/>
      <c r="G93" s="3"/>
    </row>
    <row r="94" spans="2:7" ht="28.8" x14ac:dyDescent="0.3">
      <c r="B94" s="2" t="s">
        <v>71</v>
      </c>
      <c r="C94" s="3">
        <v>2</v>
      </c>
      <c r="F94" s="2"/>
      <c r="G94" s="3"/>
    </row>
    <row r="95" spans="2:7" ht="28.8" x14ac:dyDescent="0.3">
      <c r="B95" s="2" t="s">
        <v>72</v>
      </c>
      <c r="C95" s="3">
        <v>4</v>
      </c>
      <c r="F95" s="2"/>
      <c r="G95" s="3"/>
    </row>
    <row r="96" spans="2:7" x14ac:dyDescent="0.3">
      <c r="B96" s="2" t="s">
        <v>73</v>
      </c>
      <c r="C96" s="3">
        <v>5</v>
      </c>
      <c r="F96" s="2"/>
      <c r="G96" s="3"/>
    </row>
    <row r="97" spans="2:10" ht="5.25" customHeight="1" x14ac:dyDescent="0.3">
      <c r="B97" s="2"/>
    </row>
    <row r="98" spans="2:10" x14ac:dyDescent="0.3">
      <c r="B98" s="89" t="s">
        <v>74</v>
      </c>
      <c r="F98" s="89"/>
      <c r="G98" s="3"/>
    </row>
    <row r="99" spans="2:10" x14ac:dyDescent="0.3">
      <c r="B99" s="1" t="s">
        <v>2</v>
      </c>
      <c r="C99" s="3" t="s">
        <v>3</v>
      </c>
      <c r="F99" s="1"/>
      <c r="G99" s="3"/>
    </row>
    <row r="100" spans="2:10" x14ac:dyDescent="0.3">
      <c r="B100" s="2" t="s">
        <v>69</v>
      </c>
      <c r="C100" s="3">
        <v>0</v>
      </c>
      <c r="F100" s="1"/>
      <c r="G100" s="3"/>
    </row>
    <row r="101" spans="2:10" ht="28.8" x14ac:dyDescent="0.3">
      <c r="B101" s="2" t="s">
        <v>75</v>
      </c>
      <c r="C101" s="3">
        <v>1</v>
      </c>
      <c r="F101" s="2"/>
      <c r="G101" s="3"/>
    </row>
    <row r="102" spans="2:10" x14ac:dyDescent="0.3">
      <c r="B102" s="2" t="s">
        <v>76</v>
      </c>
      <c r="C102" s="3">
        <v>2</v>
      </c>
      <c r="F102" s="2"/>
      <c r="G102" s="3"/>
    </row>
    <row r="103" spans="2:10" ht="28.8" x14ac:dyDescent="0.3">
      <c r="B103" s="2" t="s">
        <v>77</v>
      </c>
      <c r="C103" s="3">
        <v>3</v>
      </c>
      <c r="F103" s="2"/>
      <c r="G103" s="3"/>
    </row>
    <row r="104" spans="2:10" x14ac:dyDescent="0.3">
      <c r="B104" s="2" t="s">
        <v>78</v>
      </c>
      <c r="C104" s="3">
        <v>5</v>
      </c>
      <c r="F104" s="2"/>
      <c r="G104" s="3"/>
    </row>
    <row r="105" spans="2:10" ht="7.5" customHeight="1" x14ac:dyDescent="0.3">
      <c r="B105" s="2"/>
      <c r="F105" s="2"/>
      <c r="G105" s="3"/>
    </row>
    <row r="106" spans="2:10" x14ac:dyDescent="0.3">
      <c r="B106" s="111" t="s">
        <v>79</v>
      </c>
      <c r="C106" s="2"/>
      <c r="D106" s="2" t="s">
        <v>80</v>
      </c>
      <c r="E106" s="2"/>
      <c r="F106" s="2"/>
      <c r="G106" s="2"/>
      <c r="H106" s="2"/>
      <c r="I106" s="2"/>
      <c r="J106" s="2"/>
    </row>
    <row r="107" spans="2:10" x14ac:dyDescent="0.3">
      <c r="B107" s="136" t="s">
        <v>81</v>
      </c>
      <c r="C107" s="131">
        <v>0</v>
      </c>
      <c r="D107" s="2">
        <v>3</v>
      </c>
      <c r="E107" s="2"/>
      <c r="F107" s="2"/>
      <c r="G107" s="2"/>
      <c r="H107" s="2"/>
      <c r="I107" s="2"/>
      <c r="J107" s="2"/>
    </row>
    <row r="108" spans="2:10" ht="28.8" x14ac:dyDescent="0.3">
      <c r="B108" s="136" t="s">
        <v>82</v>
      </c>
      <c r="C108" s="131">
        <v>3</v>
      </c>
      <c r="D108" s="2">
        <v>5</v>
      </c>
      <c r="E108" s="2"/>
      <c r="F108" s="2"/>
      <c r="G108" s="2"/>
      <c r="H108" s="2"/>
      <c r="I108" s="2"/>
      <c r="J108" s="2"/>
    </row>
    <row r="109" spans="2:10" ht="28.8" x14ac:dyDescent="0.3">
      <c r="B109" s="136" t="s">
        <v>83</v>
      </c>
      <c r="C109" s="131">
        <v>3</v>
      </c>
      <c r="D109" s="2">
        <v>5</v>
      </c>
      <c r="E109" s="2"/>
      <c r="F109" s="2"/>
      <c r="G109" s="2"/>
      <c r="H109" s="2"/>
      <c r="I109" s="2"/>
      <c r="J109" s="2"/>
    </row>
    <row r="110" spans="2:10" ht="43.2" x14ac:dyDescent="0.3">
      <c r="B110" s="136" t="s">
        <v>84</v>
      </c>
      <c r="C110" s="131">
        <v>4</v>
      </c>
      <c r="D110" s="2">
        <v>5</v>
      </c>
      <c r="E110" s="2"/>
      <c r="F110" s="2"/>
      <c r="G110" s="2"/>
      <c r="H110" s="2"/>
      <c r="I110" s="2"/>
      <c r="J110" s="2"/>
    </row>
    <row r="111" spans="2:10" ht="28.8" x14ac:dyDescent="0.3">
      <c r="B111" s="136" t="s">
        <v>85</v>
      </c>
      <c r="C111" s="131">
        <v>3</v>
      </c>
      <c r="D111" s="2">
        <v>5</v>
      </c>
      <c r="E111" s="2"/>
      <c r="F111" s="2"/>
      <c r="G111" s="2"/>
      <c r="H111" s="2"/>
      <c r="I111" s="2"/>
      <c r="J111" s="2"/>
    </row>
    <row r="112" spans="2:10" ht="43.2" x14ac:dyDescent="0.3">
      <c r="B112" s="136" t="s">
        <v>86</v>
      </c>
      <c r="C112" s="131">
        <v>3</v>
      </c>
      <c r="D112" s="2">
        <v>4</v>
      </c>
      <c r="E112" s="2"/>
      <c r="F112" s="2"/>
      <c r="G112" s="2"/>
      <c r="H112" s="2"/>
      <c r="I112" s="2"/>
      <c r="J112" s="2"/>
    </row>
    <row r="113" spans="2:10" ht="43.2" x14ac:dyDescent="0.3">
      <c r="B113" s="136" t="s">
        <v>87</v>
      </c>
      <c r="C113" s="131">
        <v>3</v>
      </c>
      <c r="D113" s="2">
        <v>5</v>
      </c>
      <c r="E113" s="2"/>
      <c r="F113" s="2"/>
      <c r="G113" s="2"/>
      <c r="H113" s="2"/>
      <c r="I113" s="2"/>
      <c r="J113" s="2"/>
    </row>
    <row r="114" spans="2:10" ht="33" customHeight="1" x14ac:dyDescent="0.3">
      <c r="B114" s="136" t="s">
        <v>88</v>
      </c>
      <c r="C114" s="131">
        <v>3</v>
      </c>
      <c r="D114" s="2">
        <v>4</v>
      </c>
      <c r="E114" s="2"/>
      <c r="F114" s="2"/>
      <c r="G114" s="2"/>
      <c r="H114" s="2"/>
      <c r="I114" s="2"/>
      <c r="J114" s="2"/>
    </row>
    <row r="115" spans="2:10" ht="5.25" customHeight="1" x14ac:dyDescent="0.3">
      <c r="B115" s="2"/>
      <c r="C115" s="2"/>
      <c r="D115" s="2"/>
      <c r="E115" s="2"/>
      <c r="F115" s="2"/>
      <c r="G115" s="2"/>
      <c r="H115" s="2"/>
      <c r="I115" s="2"/>
      <c r="J115" s="2"/>
    </row>
    <row r="116" spans="2:10" x14ac:dyDescent="0.3">
      <c r="B116" s="111" t="s">
        <v>89</v>
      </c>
      <c r="F116" s="2"/>
      <c r="G116" s="3"/>
    </row>
    <row r="117" spans="2:10" x14ac:dyDescent="0.3">
      <c r="B117" s="1" t="s">
        <v>2</v>
      </c>
      <c r="C117" s="3" t="s">
        <v>3</v>
      </c>
      <c r="F117" s="2"/>
      <c r="G117" s="3"/>
    </row>
    <row r="118" spans="2:10" x14ac:dyDescent="0.3">
      <c r="B118" s="1" t="s">
        <v>57</v>
      </c>
      <c r="C118" s="3">
        <v>0</v>
      </c>
      <c r="F118" s="2"/>
      <c r="G118" s="3"/>
    </row>
    <row r="119" spans="2:10" ht="21" customHeight="1" x14ac:dyDescent="0.3">
      <c r="B119" s="2" t="s">
        <v>90</v>
      </c>
      <c r="C119" s="3">
        <v>1</v>
      </c>
      <c r="F119" s="2"/>
      <c r="G119" s="3"/>
    </row>
    <row r="120" spans="2:10" ht="28.8" x14ac:dyDescent="0.3">
      <c r="B120" s="2" t="s">
        <v>91</v>
      </c>
      <c r="C120" s="3">
        <v>3</v>
      </c>
      <c r="F120" s="2"/>
      <c r="G120" s="3"/>
    </row>
    <row r="121" spans="2:10" ht="28.8" x14ac:dyDescent="0.3">
      <c r="B121" s="2" t="s">
        <v>92</v>
      </c>
      <c r="C121" s="3">
        <v>4</v>
      </c>
      <c r="F121" s="2"/>
      <c r="G121" s="3"/>
    </row>
    <row r="122" spans="2:10" x14ac:dyDescent="0.3">
      <c r="B122" s="2" t="s">
        <v>93</v>
      </c>
      <c r="C122" s="3">
        <v>5</v>
      </c>
      <c r="F122" s="2"/>
      <c r="G122" s="3"/>
    </row>
    <row r="123" spans="2:10" x14ac:dyDescent="0.3">
      <c r="B123" s="2"/>
      <c r="F123" s="2"/>
      <c r="G123" s="3"/>
    </row>
    <row r="124" spans="2:10" x14ac:dyDescent="0.3">
      <c r="B124" s="40"/>
    </row>
    <row r="125" spans="2:10" x14ac:dyDescent="0.3">
      <c r="B125" s="55" t="s">
        <v>94</v>
      </c>
      <c r="F125" s="1"/>
      <c r="G125" s="3"/>
    </row>
    <row r="126" spans="2:10" x14ac:dyDescent="0.3">
      <c r="B126" s="1" t="s">
        <v>2</v>
      </c>
      <c r="C126" s="3" t="s">
        <v>3</v>
      </c>
      <c r="F126" s="55"/>
      <c r="G126" s="3"/>
    </row>
    <row r="127" spans="2:10" x14ac:dyDescent="0.3">
      <c r="B127" s="1" t="s">
        <v>95</v>
      </c>
      <c r="C127" s="3">
        <v>1</v>
      </c>
      <c r="F127" s="1"/>
      <c r="G127" s="3"/>
    </row>
    <row r="128" spans="2:10" x14ac:dyDescent="0.3">
      <c r="B128" s="1" t="s">
        <v>96</v>
      </c>
      <c r="C128" s="3">
        <v>2</v>
      </c>
      <c r="F128" s="1"/>
      <c r="G128" s="3"/>
    </row>
    <row r="129" spans="2:7" x14ac:dyDescent="0.3">
      <c r="B129" s="1" t="s">
        <v>97</v>
      </c>
      <c r="C129" s="3">
        <v>3</v>
      </c>
      <c r="F129" s="1"/>
      <c r="G129" s="3"/>
    </row>
    <row r="130" spans="2:7" x14ac:dyDescent="0.3">
      <c r="B130" s="1" t="s">
        <v>98</v>
      </c>
      <c r="C130" s="3">
        <v>4</v>
      </c>
      <c r="F130" s="1"/>
      <c r="G130" s="3"/>
    </row>
    <row r="131" spans="2:7" ht="6" customHeight="1" x14ac:dyDescent="0.3">
      <c r="F131" s="1"/>
      <c r="G131" s="3"/>
    </row>
    <row r="132" spans="2:7" x14ac:dyDescent="0.3">
      <c r="B132" s="55" t="s">
        <v>99</v>
      </c>
    </row>
    <row r="133" spans="2:7" x14ac:dyDescent="0.3">
      <c r="B133" s="1" t="s">
        <v>2</v>
      </c>
      <c r="C133" s="3" t="s">
        <v>3</v>
      </c>
    </row>
    <row r="134" spans="2:7" x14ac:dyDescent="0.3">
      <c r="B134" s="1" t="s">
        <v>100</v>
      </c>
      <c r="C134" s="3">
        <v>1</v>
      </c>
    </row>
    <row r="135" spans="2:7" x14ac:dyDescent="0.3">
      <c r="B135" s="1" t="s">
        <v>101</v>
      </c>
      <c r="C135" s="3">
        <v>2</v>
      </c>
    </row>
    <row r="136" spans="2:7" x14ac:dyDescent="0.3">
      <c r="B136" s="1" t="s">
        <v>102</v>
      </c>
      <c r="C136" s="3">
        <v>3</v>
      </c>
    </row>
  </sheetData>
  <phoneticPr fontId="2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opLeftCell="A4" workbookViewId="0">
      <selection activeCell="B7" sqref="B7:F7"/>
    </sheetView>
  </sheetViews>
  <sheetFormatPr baseColWidth="10" defaultColWidth="21.44140625" defaultRowHeight="14.4" x14ac:dyDescent="0.3"/>
  <cols>
    <col min="1" max="1" width="2.88671875" style="5" customWidth="1"/>
    <col min="2" max="2" width="20.109375" style="5" customWidth="1"/>
    <col min="3" max="3" width="22.44140625" style="5" customWidth="1"/>
    <col min="4" max="4" width="75.88671875" style="5" customWidth="1"/>
    <col min="5" max="5" width="14.88671875" style="5" customWidth="1"/>
    <col min="6" max="6" width="14.109375" style="5" customWidth="1"/>
    <col min="7" max="16384" width="21.44140625" style="5"/>
  </cols>
  <sheetData>
    <row r="1" spans="2:6" ht="7.5" customHeight="1" x14ac:dyDescent="0.3"/>
    <row r="2" spans="2:6" ht="15.6" x14ac:dyDescent="0.3">
      <c r="B2" s="305" t="s">
        <v>103</v>
      </c>
      <c r="C2" s="305"/>
      <c r="D2" s="305"/>
      <c r="E2" s="305"/>
      <c r="F2" s="305"/>
    </row>
    <row r="3" spans="2:6" ht="7.5" customHeight="1" x14ac:dyDescent="0.3"/>
    <row r="4" spans="2:6" ht="81.75" customHeight="1" x14ac:dyDescent="0.3">
      <c r="B4" s="309" t="s">
        <v>104</v>
      </c>
      <c r="C4" s="310"/>
      <c r="D4" s="310"/>
      <c r="E4" s="310"/>
      <c r="F4" s="311"/>
    </row>
    <row r="5" spans="2:6" ht="6.75" customHeight="1" x14ac:dyDescent="0.3"/>
    <row r="6" spans="2:6" s="53" customFormat="1" ht="21" customHeight="1" x14ac:dyDescent="0.3">
      <c r="B6" s="324" t="s">
        <v>105</v>
      </c>
      <c r="C6" s="324"/>
      <c r="D6" s="324"/>
      <c r="E6" s="324"/>
      <c r="F6" s="324"/>
    </row>
    <row r="7" spans="2:6" ht="173.25" customHeight="1" x14ac:dyDescent="0.3">
      <c r="B7" s="312" t="s">
        <v>106</v>
      </c>
      <c r="C7" s="313"/>
      <c r="D7" s="313"/>
      <c r="E7" s="313"/>
      <c r="F7" s="314"/>
    </row>
    <row r="8" spans="2:6" ht="249.75" customHeight="1" x14ac:dyDescent="0.3">
      <c r="B8" s="315" t="s">
        <v>107</v>
      </c>
      <c r="C8" s="316"/>
      <c r="D8" s="316"/>
      <c r="E8" s="316"/>
      <c r="F8" s="317"/>
    </row>
    <row r="9" spans="2:6" ht="93.75" customHeight="1" x14ac:dyDescent="0.3">
      <c r="B9" s="318" t="s">
        <v>108</v>
      </c>
      <c r="C9" s="319"/>
      <c r="D9" s="319"/>
      <c r="E9" s="319"/>
      <c r="F9" s="320"/>
    </row>
    <row r="10" spans="2:6" x14ac:dyDescent="0.3">
      <c r="B10" s="300" t="s">
        <v>109</v>
      </c>
      <c r="C10" s="300"/>
      <c r="D10" s="300"/>
      <c r="E10" s="300"/>
      <c r="F10" s="300"/>
    </row>
    <row r="11" spans="2:6" ht="9" customHeight="1" x14ac:dyDescent="0.3">
      <c r="B11" s="104"/>
      <c r="C11" s="104"/>
      <c r="D11" s="104"/>
      <c r="E11" s="104"/>
      <c r="F11" s="104"/>
    </row>
    <row r="12" spans="2:6" ht="20.25" customHeight="1" x14ac:dyDescent="0.4">
      <c r="B12" s="299" t="s">
        <v>110</v>
      </c>
      <c r="C12" s="299"/>
      <c r="D12" s="299"/>
      <c r="E12" s="299"/>
      <c r="F12" s="299"/>
    </row>
    <row r="13" spans="2:6" ht="5.25" customHeight="1" thickBot="1" x14ac:dyDescent="0.35"/>
    <row r="14" spans="2:6" ht="16.2" thickBot="1" x14ac:dyDescent="0.35">
      <c r="B14" s="93" t="s">
        <v>111</v>
      </c>
      <c r="C14" s="301" t="s">
        <v>112</v>
      </c>
      <c r="D14" s="302"/>
      <c r="E14" s="94" t="s">
        <v>113</v>
      </c>
      <c r="F14" s="95" t="s">
        <v>114</v>
      </c>
    </row>
    <row r="15" spans="2:6" ht="95.25" customHeight="1" x14ac:dyDescent="0.3">
      <c r="B15" s="96" t="s">
        <v>115</v>
      </c>
      <c r="C15" s="281" t="s">
        <v>116</v>
      </c>
      <c r="D15" s="282"/>
      <c r="E15" s="96" t="s">
        <v>117</v>
      </c>
      <c r="F15" s="96" t="s">
        <v>117</v>
      </c>
    </row>
    <row r="16" spans="2:6" ht="51" customHeight="1" x14ac:dyDescent="0.3">
      <c r="B16" s="97" t="s">
        <v>118</v>
      </c>
      <c r="C16" s="283" t="s">
        <v>119</v>
      </c>
      <c r="D16" s="284"/>
      <c r="E16" s="96" t="s">
        <v>117</v>
      </c>
      <c r="F16" s="96" t="s">
        <v>117</v>
      </c>
    </row>
    <row r="17" spans="2:6" ht="52.5" customHeight="1" x14ac:dyDescent="0.3">
      <c r="B17" s="98" t="s">
        <v>120</v>
      </c>
      <c r="C17" s="303" t="s">
        <v>121</v>
      </c>
      <c r="D17" s="304"/>
      <c r="E17" s="96" t="s">
        <v>117</v>
      </c>
      <c r="F17" s="96" t="s">
        <v>117</v>
      </c>
    </row>
    <row r="18" spans="2:6" ht="69.75" customHeight="1" x14ac:dyDescent="0.3">
      <c r="B18" s="99" t="s">
        <v>122</v>
      </c>
      <c r="C18" s="283" t="s">
        <v>123</v>
      </c>
      <c r="D18" s="284"/>
      <c r="E18" s="100" t="s">
        <v>124</v>
      </c>
      <c r="F18" s="100" t="s">
        <v>124</v>
      </c>
    </row>
    <row r="19" spans="2:6" ht="80.25" customHeight="1" x14ac:dyDescent="0.3">
      <c r="B19" s="101" t="s">
        <v>125</v>
      </c>
      <c r="C19" s="285" t="s">
        <v>126</v>
      </c>
      <c r="D19" s="286"/>
      <c r="E19" s="102" t="s">
        <v>127</v>
      </c>
      <c r="F19" s="102" t="s">
        <v>127</v>
      </c>
    </row>
    <row r="20" spans="2:6" s="78" customFormat="1" ht="6" customHeight="1" x14ac:dyDescent="0.3">
      <c r="B20" s="103"/>
      <c r="C20" s="103"/>
      <c r="D20" s="103"/>
      <c r="E20" s="103"/>
      <c r="F20" s="103"/>
    </row>
    <row r="21" spans="2:6" s="78" customFormat="1" ht="18" x14ac:dyDescent="0.3">
      <c r="B21" s="321" t="s">
        <v>128</v>
      </c>
      <c r="C21" s="322"/>
      <c r="D21" s="322"/>
      <c r="E21" s="322"/>
      <c r="F21" s="323"/>
    </row>
    <row r="22" spans="2:6" s="78" customFormat="1" ht="36" customHeight="1" x14ac:dyDescent="0.3">
      <c r="B22" s="296" t="s">
        <v>129</v>
      </c>
      <c r="C22" s="297"/>
      <c r="D22" s="297"/>
      <c r="E22" s="297"/>
      <c r="F22" s="298"/>
    </row>
    <row r="23" spans="2:6" s="78" customFormat="1" ht="80.25" customHeight="1" x14ac:dyDescent="0.3">
      <c r="B23" s="278" t="s">
        <v>130</v>
      </c>
      <c r="C23" s="279"/>
      <c r="D23" s="279"/>
      <c r="E23" s="279"/>
      <c r="F23" s="280"/>
    </row>
    <row r="24" spans="2:6" s="78" customFormat="1" ht="32.25" customHeight="1" x14ac:dyDescent="0.3">
      <c r="B24" s="296" t="s">
        <v>131</v>
      </c>
      <c r="C24" s="297"/>
      <c r="D24" s="297"/>
      <c r="E24" s="297"/>
      <c r="F24" s="298"/>
    </row>
    <row r="25" spans="2:6" s="78" customFormat="1" ht="32.25" customHeight="1" x14ac:dyDescent="0.3">
      <c r="B25" s="278" t="s">
        <v>132</v>
      </c>
      <c r="C25" s="279"/>
      <c r="D25" s="279"/>
      <c r="E25" s="279"/>
      <c r="F25" s="280"/>
    </row>
    <row r="26" spans="2:6" s="78" customFormat="1" ht="32.25" customHeight="1" x14ac:dyDescent="0.3">
      <c r="B26" s="278" t="s">
        <v>133</v>
      </c>
      <c r="C26" s="279"/>
      <c r="D26" s="279"/>
      <c r="E26" s="279"/>
      <c r="F26" s="280"/>
    </row>
    <row r="27" spans="2:6" s="78" customFormat="1" ht="47.25" customHeight="1" x14ac:dyDescent="0.3">
      <c r="B27" s="278" t="s">
        <v>134</v>
      </c>
      <c r="C27" s="279"/>
      <c r="D27" s="279"/>
      <c r="E27" s="279"/>
      <c r="F27" s="280"/>
    </row>
    <row r="28" spans="2:6" s="78" customFormat="1" ht="47.25" customHeight="1" x14ac:dyDescent="0.3">
      <c r="B28" s="278" t="s">
        <v>135</v>
      </c>
      <c r="C28" s="279"/>
      <c r="D28" s="279"/>
      <c r="E28" s="279"/>
      <c r="F28" s="280"/>
    </row>
    <row r="29" spans="2:6" s="78" customFormat="1" ht="33" customHeight="1" x14ac:dyDescent="0.3">
      <c r="B29" s="278" t="s">
        <v>136</v>
      </c>
      <c r="C29" s="279"/>
      <c r="D29" s="279"/>
      <c r="E29" s="279"/>
      <c r="F29" s="280"/>
    </row>
    <row r="30" spans="2:6" s="78" customFormat="1" ht="33.75" customHeight="1" x14ac:dyDescent="0.3">
      <c r="B30" s="278" t="s">
        <v>137</v>
      </c>
      <c r="C30" s="279"/>
      <c r="D30" s="279"/>
      <c r="E30" s="279"/>
      <c r="F30" s="280"/>
    </row>
    <row r="31" spans="2:6" s="78" customFormat="1" ht="31.5" customHeight="1" x14ac:dyDescent="0.3">
      <c r="B31" s="278" t="s">
        <v>138</v>
      </c>
      <c r="C31" s="279"/>
      <c r="D31" s="279"/>
      <c r="E31" s="279"/>
      <c r="F31" s="280"/>
    </row>
    <row r="32" spans="2:6" s="78" customFormat="1" ht="34.5" customHeight="1" x14ac:dyDescent="0.3">
      <c r="B32" s="278" t="s">
        <v>139</v>
      </c>
      <c r="C32" s="279"/>
      <c r="D32" s="279"/>
      <c r="E32" s="279"/>
      <c r="F32" s="280"/>
    </row>
    <row r="33" spans="2:6" s="78" customFormat="1" ht="24" customHeight="1" x14ac:dyDescent="0.3">
      <c r="B33" s="306" t="s">
        <v>140</v>
      </c>
      <c r="C33" s="307"/>
      <c r="D33" s="307"/>
      <c r="E33" s="307"/>
      <c r="F33" s="308"/>
    </row>
    <row r="34" spans="2:6" ht="72" customHeight="1" x14ac:dyDescent="0.3">
      <c r="B34" s="287" t="s">
        <v>141</v>
      </c>
      <c r="C34" s="288"/>
      <c r="D34" s="288"/>
      <c r="E34" s="288"/>
      <c r="F34" s="289"/>
    </row>
    <row r="35" spans="2:6" ht="17.25" customHeight="1" x14ac:dyDescent="0.3">
      <c r="B35" s="290"/>
      <c r="C35" s="291"/>
      <c r="D35" s="291"/>
      <c r="E35" s="291"/>
      <c r="F35" s="292"/>
    </row>
    <row r="36" spans="2:6" ht="14.25" customHeight="1" x14ac:dyDescent="0.3">
      <c r="B36" s="293"/>
      <c r="C36" s="294"/>
      <c r="D36" s="294"/>
      <c r="E36" s="294"/>
      <c r="F36" s="295"/>
    </row>
  </sheetData>
  <sheetProtection selectLockedCells="1" selectUnlockedCells="1"/>
  <mergeCells count="28">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 ref="B12:F12"/>
    <mergeCell ref="B10:F10"/>
    <mergeCell ref="C14:D14"/>
    <mergeCell ref="C16:D16"/>
    <mergeCell ref="C17:D17"/>
    <mergeCell ref="B32:F32"/>
    <mergeCell ref="C15:D15"/>
    <mergeCell ref="C18:D18"/>
    <mergeCell ref="C19:D19"/>
    <mergeCell ref="B34:F36"/>
    <mergeCell ref="B26:F26"/>
    <mergeCell ref="B22:F22"/>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X116"/>
  <sheetViews>
    <sheetView tabSelected="1" workbookViewId="0">
      <selection activeCell="F17" sqref="F17:T18"/>
    </sheetView>
  </sheetViews>
  <sheetFormatPr baseColWidth="10" defaultColWidth="7.88671875" defaultRowHeight="14.4" outlineLevelRow="2" x14ac:dyDescent="0.3"/>
  <cols>
    <col min="1" max="1" width="1.109375" style="51" customWidth="1"/>
    <col min="2" max="2" width="1.88671875" style="77" customWidth="1"/>
    <col min="3" max="3" width="3.88671875" style="51" customWidth="1"/>
    <col min="4" max="4" width="3" style="51" customWidth="1"/>
    <col min="5" max="5" width="15.109375" style="51" customWidth="1"/>
    <col min="6" max="6" width="14.109375" style="51" customWidth="1"/>
    <col min="7" max="7" width="0.88671875" style="51" customWidth="1"/>
    <col min="8" max="8" width="14.109375" style="51" customWidth="1"/>
    <col min="9" max="9" width="0.88671875" style="51" customWidth="1"/>
    <col min="10" max="10" width="14.109375" style="51" customWidth="1"/>
    <col min="11" max="11" width="0.88671875" style="51" customWidth="1"/>
    <col min="12" max="12" width="4.109375" style="51" customWidth="1"/>
    <col min="13" max="13" width="3.109375" style="51" customWidth="1"/>
    <col min="14" max="14" width="4.109375" style="51" customWidth="1"/>
    <col min="15" max="15" width="1.109375" style="51" customWidth="1"/>
    <col min="16" max="16" width="1.44140625" style="51" customWidth="1"/>
    <col min="17" max="17" width="3.109375" style="51" customWidth="1"/>
    <col min="18" max="18" width="7.88671875" style="51" customWidth="1"/>
    <col min="19" max="19" width="21.44140625" style="51" customWidth="1"/>
    <col min="20" max="20" width="23.44140625" style="214" customWidth="1"/>
    <col min="21" max="21" width="6.109375" style="214" customWidth="1"/>
    <col min="22" max="22" width="2.88671875" style="214" customWidth="1"/>
    <col min="23" max="23" width="5.109375" style="214" customWidth="1"/>
    <col min="24" max="24" width="1.109375" style="51" customWidth="1"/>
    <col min="25" max="16384" width="7.88671875" style="51"/>
  </cols>
  <sheetData>
    <row r="1" spans="1:24" ht="7.5" customHeight="1" thickBot="1" x14ac:dyDescent="0.35">
      <c r="A1" s="5"/>
      <c r="B1" s="76"/>
      <c r="C1" s="5"/>
      <c r="D1" s="5"/>
      <c r="E1" s="5"/>
      <c r="F1" s="5"/>
      <c r="G1" s="5"/>
      <c r="H1" s="5"/>
      <c r="I1" s="5"/>
      <c r="J1" s="5"/>
      <c r="K1" s="5"/>
      <c r="L1" s="5"/>
      <c r="M1" s="5"/>
      <c r="N1" s="5"/>
      <c r="O1" s="5"/>
      <c r="P1" s="5"/>
      <c r="Q1" s="5"/>
      <c r="R1" s="5"/>
      <c r="S1" s="5"/>
      <c r="T1" s="176"/>
      <c r="U1" s="176"/>
      <c r="V1" s="176"/>
      <c r="W1" s="176"/>
      <c r="X1" s="5"/>
    </row>
    <row r="2" spans="1:24" ht="7.5" customHeight="1" thickTop="1" x14ac:dyDescent="0.3">
      <c r="A2" s="5"/>
      <c r="B2" s="224"/>
      <c r="C2" s="4"/>
      <c r="D2" s="4"/>
      <c r="E2" s="4"/>
      <c r="F2" s="4"/>
      <c r="G2" s="4"/>
      <c r="H2" s="4"/>
      <c r="I2" s="4"/>
      <c r="J2" s="4"/>
      <c r="K2" s="4"/>
      <c r="L2" s="4"/>
      <c r="M2" s="4"/>
      <c r="N2" s="4"/>
      <c r="O2" s="4"/>
      <c r="P2" s="4"/>
      <c r="Q2" s="4"/>
      <c r="R2" s="4"/>
      <c r="S2" s="4"/>
      <c r="T2" s="177"/>
      <c r="U2" s="177"/>
      <c r="V2" s="177"/>
      <c r="W2" s="178"/>
      <c r="X2" s="5"/>
    </row>
    <row r="3" spans="1:24" ht="24" customHeight="1" x14ac:dyDescent="0.3">
      <c r="A3" s="5"/>
      <c r="B3" s="225"/>
      <c r="C3" s="346" t="s">
        <v>142</v>
      </c>
      <c r="D3" s="346"/>
      <c r="E3" s="346"/>
      <c r="F3" s="346"/>
      <c r="G3" s="346"/>
      <c r="H3" s="346"/>
      <c r="I3" s="346"/>
      <c r="J3" s="346"/>
      <c r="K3" s="346"/>
      <c r="L3" s="346"/>
      <c r="M3" s="346"/>
      <c r="N3" s="346"/>
      <c r="O3" s="346"/>
      <c r="P3" s="346"/>
      <c r="Q3" s="346"/>
      <c r="R3" s="346"/>
      <c r="S3" s="346"/>
      <c r="T3" s="346"/>
      <c r="U3" s="346"/>
      <c r="V3" s="346"/>
      <c r="W3" s="179"/>
      <c r="X3" s="5"/>
    </row>
    <row r="4" spans="1:24" ht="6" customHeight="1" x14ac:dyDescent="0.3">
      <c r="A4" s="5"/>
      <c r="B4" s="225"/>
      <c r="C4" s="5"/>
      <c r="D4" s="5"/>
      <c r="E4" s="5"/>
      <c r="F4" s="5"/>
      <c r="G4" s="5"/>
      <c r="H4" s="5"/>
      <c r="I4" s="5"/>
      <c r="J4" s="5"/>
      <c r="K4" s="5"/>
      <c r="L4" s="5"/>
      <c r="M4" s="5"/>
      <c r="N4" s="5"/>
      <c r="O4" s="5"/>
      <c r="P4" s="5"/>
      <c r="Q4" s="5"/>
      <c r="R4" s="5"/>
      <c r="S4" s="5"/>
      <c r="T4" s="176"/>
      <c r="U4" s="176"/>
      <c r="V4" s="176"/>
      <c r="W4" s="179"/>
      <c r="X4" s="5"/>
    </row>
    <row r="5" spans="1:24" ht="4.5" customHeight="1" x14ac:dyDescent="0.3">
      <c r="A5" s="5"/>
      <c r="B5" s="225"/>
      <c r="C5" s="6"/>
      <c r="D5" s="7"/>
      <c r="E5" s="7"/>
      <c r="F5" s="7"/>
      <c r="G5" s="8"/>
      <c r="H5" s="7"/>
      <c r="I5" s="8"/>
      <c r="J5" s="8"/>
      <c r="K5" s="8"/>
      <c r="L5" s="8"/>
      <c r="M5" s="8"/>
      <c r="N5" s="8"/>
      <c r="O5" s="8"/>
      <c r="P5" s="8"/>
      <c r="Q5" s="8"/>
      <c r="R5" s="8"/>
      <c r="S5" s="8"/>
      <c r="T5" s="180"/>
      <c r="U5" s="180"/>
      <c r="V5" s="181"/>
      <c r="W5" s="179"/>
      <c r="X5" s="5"/>
    </row>
    <row r="6" spans="1:24" ht="15" customHeight="1" x14ac:dyDescent="0.3">
      <c r="A6" s="5"/>
      <c r="B6" s="225"/>
      <c r="C6" s="352" t="s">
        <v>143</v>
      </c>
      <c r="D6" s="353"/>
      <c r="E6" s="354"/>
      <c r="F6" s="347" t="s">
        <v>144</v>
      </c>
      <c r="G6" s="348"/>
      <c r="H6" s="348"/>
      <c r="I6" s="348"/>
      <c r="J6" s="348"/>
      <c r="K6" s="348"/>
      <c r="L6" s="348"/>
      <c r="M6" s="348"/>
      <c r="N6" s="348"/>
      <c r="O6" s="348"/>
      <c r="P6" s="348"/>
      <c r="Q6" s="348"/>
      <c r="R6" s="348"/>
      <c r="S6" s="348"/>
      <c r="T6" s="349"/>
      <c r="U6" s="182"/>
      <c r="V6" s="183"/>
      <c r="W6" s="179"/>
      <c r="X6" s="5"/>
    </row>
    <row r="7" spans="1:24" ht="3.75" customHeight="1" x14ac:dyDescent="0.3">
      <c r="A7" s="5"/>
      <c r="B7" s="225"/>
      <c r="C7" s="9"/>
      <c r="D7" s="119"/>
      <c r="E7" s="119"/>
      <c r="F7" s="5"/>
      <c r="G7" s="11"/>
      <c r="H7" s="5"/>
      <c r="I7" s="11"/>
      <c r="J7" s="12"/>
      <c r="K7" s="12"/>
      <c r="L7" s="12"/>
      <c r="M7" s="12"/>
      <c r="N7" s="13"/>
      <c r="O7" s="11"/>
      <c r="P7" s="13"/>
      <c r="Q7" s="13"/>
      <c r="R7" s="13"/>
      <c r="S7" s="82"/>
      <c r="T7" s="182"/>
      <c r="U7" s="182"/>
      <c r="V7" s="183"/>
      <c r="W7" s="179"/>
      <c r="X7" s="5"/>
    </row>
    <row r="8" spans="1:24" ht="15" customHeight="1" x14ac:dyDescent="0.3">
      <c r="A8" s="5"/>
      <c r="B8" s="225"/>
      <c r="C8" s="352" t="s">
        <v>145</v>
      </c>
      <c r="D8" s="353"/>
      <c r="E8" s="354"/>
      <c r="F8" s="347" t="s">
        <v>304</v>
      </c>
      <c r="G8" s="348"/>
      <c r="H8" s="348"/>
      <c r="I8" s="348"/>
      <c r="J8" s="348"/>
      <c r="K8" s="348"/>
      <c r="L8" s="348"/>
      <c r="M8" s="348"/>
      <c r="N8" s="348"/>
      <c r="O8" s="348"/>
      <c r="P8" s="348"/>
      <c r="Q8" s="348"/>
      <c r="R8" s="348"/>
      <c r="S8" s="348"/>
      <c r="T8" s="349"/>
      <c r="U8" s="184"/>
      <c r="V8" s="183"/>
      <c r="W8" s="179"/>
      <c r="X8" s="5"/>
    </row>
    <row r="9" spans="1:24" ht="3" customHeight="1" x14ac:dyDescent="0.3">
      <c r="A9" s="5"/>
      <c r="B9" s="225"/>
      <c r="C9" s="10"/>
      <c r="D9" s="119"/>
      <c r="E9" s="119"/>
      <c r="F9" s="5"/>
      <c r="G9" s="14"/>
      <c r="H9" s="5"/>
      <c r="I9" s="14"/>
      <c r="J9" s="14"/>
      <c r="K9" s="14"/>
      <c r="L9" s="14"/>
      <c r="M9" s="14"/>
      <c r="N9" s="14"/>
      <c r="O9" s="14"/>
      <c r="P9" s="14"/>
      <c r="Q9" s="14"/>
      <c r="R9" s="14"/>
      <c r="S9" s="83"/>
      <c r="T9" s="185"/>
      <c r="U9" s="185"/>
      <c r="V9" s="186"/>
      <c r="W9" s="179"/>
      <c r="X9" s="5"/>
    </row>
    <row r="10" spans="1:24" ht="13.5" customHeight="1" x14ac:dyDescent="0.3">
      <c r="A10" s="5"/>
      <c r="B10" s="225"/>
      <c r="C10" s="395" t="s">
        <v>146</v>
      </c>
      <c r="D10" s="396"/>
      <c r="E10" s="397"/>
      <c r="F10" s="355" t="s">
        <v>305</v>
      </c>
      <c r="G10" s="355"/>
      <c r="H10" s="355"/>
      <c r="I10" s="355"/>
      <c r="J10" s="355"/>
      <c r="K10" s="355"/>
      <c r="L10" s="355"/>
      <c r="M10" s="355"/>
      <c r="N10" s="355"/>
      <c r="O10" s="355"/>
      <c r="P10" s="355"/>
      <c r="Q10" s="355"/>
      <c r="R10" s="355"/>
      <c r="S10" s="355"/>
      <c r="T10" s="355"/>
      <c r="U10" s="187"/>
      <c r="V10" s="188"/>
      <c r="W10" s="179"/>
      <c r="X10" s="5"/>
    </row>
    <row r="11" spans="1:24" ht="13.5" customHeight="1" x14ac:dyDescent="0.3">
      <c r="A11" s="5"/>
      <c r="B11" s="225"/>
      <c r="C11" s="120"/>
      <c r="D11" s="119"/>
      <c r="E11" s="119"/>
      <c r="F11" s="355"/>
      <c r="G11" s="355"/>
      <c r="H11" s="355"/>
      <c r="I11" s="355"/>
      <c r="J11" s="355"/>
      <c r="K11" s="355"/>
      <c r="L11" s="355"/>
      <c r="M11" s="355"/>
      <c r="N11" s="355"/>
      <c r="O11" s="355"/>
      <c r="P11" s="355"/>
      <c r="Q11" s="355"/>
      <c r="R11" s="355"/>
      <c r="S11" s="355"/>
      <c r="T11" s="355"/>
      <c r="U11" s="187"/>
      <c r="V11" s="188"/>
      <c r="W11" s="179"/>
      <c r="X11" s="5"/>
    </row>
    <row r="12" spans="1:24" ht="13.5" customHeight="1" x14ac:dyDescent="0.3">
      <c r="A12" s="5"/>
      <c r="B12" s="225"/>
      <c r="C12" s="120"/>
      <c r="D12" s="119"/>
      <c r="E12" s="119"/>
      <c r="F12" s="355"/>
      <c r="G12" s="355"/>
      <c r="H12" s="355"/>
      <c r="I12" s="355"/>
      <c r="J12" s="355"/>
      <c r="K12" s="355"/>
      <c r="L12" s="355"/>
      <c r="M12" s="355"/>
      <c r="N12" s="355"/>
      <c r="O12" s="355"/>
      <c r="P12" s="355"/>
      <c r="Q12" s="355"/>
      <c r="R12" s="355"/>
      <c r="S12" s="355"/>
      <c r="T12" s="355"/>
      <c r="U12" s="187"/>
      <c r="V12" s="188"/>
      <c r="W12" s="179"/>
      <c r="X12" s="5"/>
    </row>
    <row r="13" spans="1:24" ht="3.75" customHeight="1" x14ac:dyDescent="0.3">
      <c r="A13" s="5"/>
      <c r="B13" s="225"/>
      <c r="C13" s="120"/>
      <c r="D13" s="119"/>
      <c r="E13" s="119"/>
      <c r="F13" s="5"/>
      <c r="G13" s="5"/>
      <c r="H13" s="5"/>
      <c r="I13" s="5"/>
      <c r="J13" s="5"/>
      <c r="K13" s="5"/>
      <c r="L13" s="5"/>
      <c r="M13" s="5"/>
      <c r="N13" s="5"/>
      <c r="O13" s="5"/>
      <c r="P13" s="5"/>
      <c r="Q13" s="5"/>
      <c r="R13" s="5"/>
      <c r="S13" s="78"/>
      <c r="T13" s="187"/>
      <c r="U13" s="187"/>
      <c r="V13" s="188"/>
      <c r="W13" s="179"/>
      <c r="X13" s="5"/>
    </row>
    <row r="14" spans="1:24" ht="13.5" customHeight="1" x14ac:dyDescent="0.3">
      <c r="A14" s="5"/>
      <c r="B14" s="225"/>
      <c r="C14" s="395" t="s">
        <v>147</v>
      </c>
      <c r="D14" s="396"/>
      <c r="E14" s="397"/>
      <c r="F14" s="355"/>
      <c r="G14" s="355"/>
      <c r="H14" s="355"/>
      <c r="I14" s="355"/>
      <c r="J14" s="355"/>
      <c r="K14" s="355"/>
      <c r="L14" s="355"/>
      <c r="M14" s="355"/>
      <c r="N14" s="355"/>
      <c r="O14" s="355"/>
      <c r="P14" s="355"/>
      <c r="Q14" s="355"/>
      <c r="R14" s="355"/>
      <c r="S14" s="355"/>
      <c r="T14" s="355"/>
      <c r="U14" s="187"/>
      <c r="V14" s="188"/>
      <c r="W14" s="179"/>
      <c r="X14" s="5"/>
    </row>
    <row r="15" spans="1:24" ht="13.5" customHeight="1" x14ac:dyDescent="0.3">
      <c r="A15" s="5"/>
      <c r="B15" s="225"/>
      <c r="C15" s="15"/>
      <c r="D15" s="5"/>
      <c r="E15" s="5"/>
      <c r="F15" s="355"/>
      <c r="G15" s="355"/>
      <c r="H15" s="355"/>
      <c r="I15" s="355"/>
      <c r="J15" s="355"/>
      <c r="K15" s="355"/>
      <c r="L15" s="355"/>
      <c r="M15" s="355"/>
      <c r="N15" s="355"/>
      <c r="O15" s="355"/>
      <c r="P15" s="355"/>
      <c r="Q15" s="355"/>
      <c r="R15" s="355"/>
      <c r="S15" s="355"/>
      <c r="T15" s="355"/>
      <c r="U15" s="187"/>
      <c r="V15" s="188"/>
      <c r="W15" s="179"/>
      <c r="X15" s="5"/>
    </row>
    <row r="16" spans="1:24" ht="3.75" customHeight="1" x14ac:dyDescent="0.3">
      <c r="A16" s="5"/>
      <c r="B16" s="225"/>
      <c r="C16" s="15"/>
      <c r="D16" s="5"/>
      <c r="E16" s="5"/>
      <c r="F16" s="157"/>
      <c r="G16" s="157"/>
      <c r="H16" s="157"/>
      <c r="I16" s="157"/>
      <c r="J16" s="157"/>
      <c r="K16" s="157"/>
      <c r="L16" s="157"/>
      <c r="M16" s="157"/>
      <c r="N16" s="157"/>
      <c r="O16" s="157"/>
      <c r="P16" s="157"/>
      <c r="Q16" s="157"/>
      <c r="R16" s="157"/>
      <c r="S16" s="157"/>
      <c r="T16" s="189"/>
      <c r="U16" s="187"/>
      <c r="V16" s="188"/>
      <c r="W16" s="179"/>
      <c r="X16" s="5"/>
    </row>
    <row r="17" spans="1:24" ht="13.5" customHeight="1" x14ac:dyDescent="0.3">
      <c r="A17" s="5"/>
      <c r="B17" s="225"/>
      <c r="C17" s="395" t="s">
        <v>148</v>
      </c>
      <c r="D17" s="396"/>
      <c r="E17" s="397"/>
      <c r="F17" s="398" t="s">
        <v>303</v>
      </c>
      <c r="G17" s="399"/>
      <c r="H17" s="399"/>
      <c r="I17" s="399"/>
      <c r="J17" s="399"/>
      <c r="K17" s="399"/>
      <c r="L17" s="399"/>
      <c r="M17" s="399"/>
      <c r="N17" s="399"/>
      <c r="O17" s="399"/>
      <c r="P17" s="399"/>
      <c r="Q17" s="399"/>
      <c r="R17" s="399"/>
      <c r="S17" s="399"/>
      <c r="T17" s="400"/>
      <c r="U17" s="187"/>
      <c r="V17" s="188"/>
      <c r="W17" s="179"/>
      <c r="X17" s="5"/>
    </row>
    <row r="18" spans="1:24" ht="13.5" customHeight="1" x14ac:dyDescent="0.3">
      <c r="A18" s="5"/>
      <c r="B18" s="225"/>
      <c r="C18" s="15"/>
      <c r="D18" s="5"/>
      <c r="E18" s="5"/>
      <c r="F18" s="401"/>
      <c r="G18" s="402"/>
      <c r="H18" s="402"/>
      <c r="I18" s="402"/>
      <c r="J18" s="402"/>
      <c r="K18" s="402"/>
      <c r="L18" s="402"/>
      <c r="M18" s="402"/>
      <c r="N18" s="402"/>
      <c r="O18" s="402"/>
      <c r="P18" s="402"/>
      <c r="Q18" s="402"/>
      <c r="R18" s="402"/>
      <c r="S18" s="402"/>
      <c r="T18" s="403"/>
      <c r="U18" s="187"/>
      <c r="V18" s="188"/>
      <c r="W18" s="179"/>
      <c r="X18" s="5"/>
    </row>
    <row r="19" spans="1:24" ht="13.5" customHeight="1" x14ac:dyDescent="0.3">
      <c r="A19" s="5"/>
      <c r="B19" s="225"/>
      <c r="C19" s="15"/>
      <c r="D19" s="5"/>
      <c r="E19" s="5"/>
      <c r="F19" s="157"/>
      <c r="G19" s="157"/>
      <c r="H19" s="157"/>
      <c r="I19" s="157"/>
      <c r="J19" s="157"/>
      <c r="K19" s="157"/>
      <c r="L19" s="157"/>
      <c r="M19" s="157"/>
      <c r="N19" s="157"/>
      <c r="O19" s="157"/>
      <c r="P19" s="157"/>
      <c r="Q19" s="157"/>
      <c r="R19" s="157"/>
      <c r="S19" s="157"/>
      <c r="T19" s="189"/>
      <c r="U19" s="187"/>
      <c r="V19" s="188"/>
      <c r="W19" s="179"/>
      <c r="X19" s="5"/>
    </row>
    <row r="20" spans="1:24" ht="23.25" customHeight="1" x14ac:dyDescent="0.3">
      <c r="A20" s="5"/>
      <c r="B20" s="225"/>
      <c r="C20" s="356" t="s">
        <v>149</v>
      </c>
      <c r="D20" s="357"/>
      <c r="E20" s="357"/>
      <c r="F20" s="357"/>
      <c r="G20" s="357"/>
      <c r="H20" s="357"/>
      <c r="I20" s="357"/>
      <c r="J20" s="357"/>
      <c r="K20" s="357"/>
      <c r="L20" s="357"/>
      <c r="M20" s="357"/>
      <c r="N20" s="357"/>
      <c r="O20" s="357"/>
      <c r="P20" s="357"/>
      <c r="Q20" s="357"/>
      <c r="R20" s="357"/>
      <c r="S20" s="357"/>
      <c r="T20" s="357"/>
      <c r="U20" s="357"/>
      <c r="V20" s="358"/>
      <c r="W20" s="179"/>
      <c r="X20" s="5"/>
    </row>
    <row r="21" spans="1:24" ht="3.75" customHeight="1" outlineLevel="1" x14ac:dyDescent="0.3">
      <c r="A21" s="5"/>
      <c r="B21" s="225"/>
      <c r="C21" s="15"/>
      <c r="D21" s="5"/>
      <c r="E21" s="5"/>
      <c r="F21" s="5"/>
      <c r="G21" s="5"/>
      <c r="H21" s="5"/>
      <c r="I21" s="5"/>
      <c r="J21" s="5"/>
      <c r="K21" s="5"/>
      <c r="L21" s="5"/>
      <c r="M21" s="5"/>
      <c r="N21" s="5"/>
      <c r="O21" s="5"/>
      <c r="P21" s="5"/>
      <c r="Q21" s="5"/>
      <c r="R21" s="5"/>
      <c r="S21" s="5"/>
      <c r="T21" s="176"/>
      <c r="U21" s="176"/>
      <c r="V21" s="188"/>
      <c r="W21" s="179"/>
      <c r="X21" s="5"/>
    </row>
    <row r="22" spans="1:24" ht="14.25" customHeight="1" outlineLevel="1" x14ac:dyDescent="0.3">
      <c r="A22" s="5"/>
      <c r="B22" s="225"/>
      <c r="C22" s="15"/>
      <c r="D22" s="5"/>
      <c r="E22" s="78"/>
      <c r="F22" s="78"/>
      <c r="G22" s="78"/>
      <c r="H22" s="78"/>
      <c r="I22" s="78"/>
      <c r="J22" s="5"/>
      <c r="K22" s="78"/>
      <c r="L22" s="359" t="s">
        <v>150</v>
      </c>
      <c r="M22" s="359" t="s">
        <v>151</v>
      </c>
      <c r="N22" s="360" t="s">
        <v>152</v>
      </c>
      <c r="O22" s="5"/>
      <c r="P22" s="5"/>
      <c r="Q22" s="5"/>
      <c r="R22" s="5"/>
      <c r="S22" s="5"/>
      <c r="T22" s="176"/>
      <c r="U22" s="176"/>
      <c r="V22" s="188"/>
      <c r="W22" s="179"/>
      <c r="X22" s="5"/>
    </row>
    <row r="23" spans="1:24" ht="14.25" customHeight="1" outlineLevel="1" x14ac:dyDescent="0.3">
      <c r="A23" s="5"/>
      <c r="B23" s="225"/>
      <c r="C23" s="15"/>
      <c r="D23" s="78"/>
      <c r="E23" s="78"/>
      <c r="F23" s="361"/>
      <c r="G23" s="361"/>
      <c r="H23" s="361"/>
      <c r="I23" s="361"/>
      <c r="J23" s="361"/>
      <c r="K23" s="78"/>
      <c r="L23" s="359"/>
      <c r="M23" s="359"/>
      <c r="N23" s="360"/>
      <c r="O23" s="5"/>
      <c r="P23" s="5"/>
      <c r="Q23" s="5"/>
      <c r="R23" s="5"/>
      <c r="S23" s="5"/>
      <c r="T23" s="176"/>
      <c r="U23" s="176"/>
      <c r="V23" s="188"/>
      <c r="W23" s="179"/>
      <c r="X23" s="5"/>
    </row>
    <row r="24" spans="1:24" ht="14.25" customHeight="1" outlineLevel="1" x14ac:dyDescent="0.3">
      <c r="A24" s="5"/>
      <c r="B24" s="225"/>
      <c r="C24" s="15"/>
      <c r="D24" s="78"/>
      <c r="E24" s="78"/>
      <c r="F24" s="78"/>
      <c r="G24" s="78"/>
      <c r="H24" s="78"/>
      <c r="I24" s="78"/>
      <c r="J24" s="5"/>
      <c r="K24" s="78"/>
      <c r="L24" s="359"/>
      <c r="M24" s="359"/>
      <c r="N24" s="360"/>
      <c r="O24" s="5"/>
      <c r="P24" s="5"/>
      <c r="Q24" s="5"/>
      <c r="R24" s="5"/>
      <c r="S24" s="5"/>
      <c r="T24" s="176"/>
      <c r="U24" s="176"/>
      <c r="V24" s="188"/>
      <c r="W24" s="179"/>
      <c r="X24" s="5"/>
    </row>
    <row r="25" spans="1:24" ht="14.25" customHeight="1" outlineLevel="1" x14ac:dyDescent="0.3">
      <c r="A25" s="5"/>
      <c r="B25" s="225"/>
      <c r="C25" s="15"/>
      <c r="D25" s="337" t="s">
        <v>153</v>
      </c>
      <c r="E25" s="337"/>
      <c r="F25" s="337"/>
      <c r="G25" s="337"/>
      <c r="H25" s="337"/>
      <c r="I25" s="337"/>
      <c r="J25" s="337"/>
      <c r="K25" s="78"/>
      <c r="L25" s="359"/>
      <c r="M25" s="359"/>
      <c r="N25" s="360"/>
      <c r="O25" s="78"/>
      <c r="P25" s="123"/>
      <c r="Q25" s="337" t="s">
        <v>154</v>
      </c>
      <c r="R25" s="337"/>
      <c r="S25" s="337"/>
      <c r="T25" s="337"/>
      <c r="U25" s="337"/>
      <c r="V25" s="188"/>
      <c r="W25" s="179"/>
      <c r="X25" s="5"/>
    </row>
    <row r="26" spans="1:24" ht="23.25" customHeight="1" outlineLevel="1" x14ac:dyDescent="0.3">
      <c r="A26" s="5"/>
      <c r="B26" s="225"/>
      <c r="C26" s="15"/>
      <c r="D26" s="350" t="s">
        <v>155</v>
      </c>
      <c r="E26" s="350"/>
      <c r="F26" s="350"/>
      <c r="G26" s="350"/>
      <c r="H26" s="350"/>
      <c r="I26" s="350"/>
      <c r="J26" s="350"/>
      <c r="K26" s="78"/>
      <c r="L26" s="359"/>
      <c r="M26" s="359"/>
      <c r="N26" s="360"/>
      <c r="O26" s="78"/>
      <c r="P26" s="123"/>
      <c r="Q26" s="350" t="s">
        <v>156</v>
      </c>
      <c r="R26" s="350"/>
      <c r="S26" s="350"/>
      <c r="T26" s="350"/>
      <c r="U26" s="350"/>
      <c r="V26" s="188"/>
      <c r="W26" s="179"/>
      <c r="X26" s="5"/>
    </row>
    <row r="27" spans="1:24" ht="15" customHeight="1" outlineLevel="1" x14ac:dyDescent="0.3">
      <c r="A27" s="5"/>
      <c r="B27" s="225"/>
      <c r="C27" s="15"/>
      <c r="D27" s="158"/>
      <c r="E27" s="158" t="s">
        <v>157</v>
      </c>
      <c r="F27" s="331" t="s">
        <v>158</v>
      </c>
      <c r="G27" s="331"/>
      <c r="H27" s="331"/>
      <c r="I27" s="331"/>
      <c r="J27" s="331"/>
      <c r="K27" s="159"/>
      <c r="L27" s="160"/>
      <c r="M27" s="160"/>
      <c r="N27" s="161"/>
      <c r="O27" s="118"/>
      <c r="P27" s="123"/>
      <c r="Q27" s="158"/>
      <c r="R27" s="331" t="s">
        <v>159</v>
      </c>
      <c r="S27" s="331"/>
      <c r="T27" s="251" t="str">
        <f>IF(V27,"Adicionar Plantilla y Tarea","")</f>
        <v/>
      </c>
      <c r="U27" s="215"/>
      <c r="V27" s="169" t="b">
        <v>0</v>
      </c>
      <c r="W27" s="175"/>
      <c r="X27" s="5"/>
    </row>
    <row r="28" spans="1:24" ht="15" customHeight="1" outlineLevel="1" x14ac:dyDescent="0.3">
      <c r="A28" s="5"/>
      <c r="B28" s="225"/>
      <c r="C28" s="15"/>
      <c r="D28" s="158"/>
      <c r="E28" s="162" t="s">
        <v>157</v>
      </c>
      <c r="F28" s="325" t="s">
        <v>160</v>
      </c>
      <c r="G28" s="325"/>
      <c r="H28" s="325"/>
      <c r="I28" s="325"/>
      <c r="J28" s="325"/>
      <c r="K28" s="163"/>
      <c r="L28" s="164"/>
      <c r="M28" s="164"/>
      <c r="N28" s="165"/>
      <c r="O28" s="118"/>
      <c r="P28" s="123"/>
      <c r="Q28" s="158"/>
      <c r="R28" s="331" t="s">
        <v>161</v>
      </c>
      <c r="S28" s="331"/>
      <c r="T28" s="251" t="str">
        <f>IF(V28,"Adicionar Plantilla y Tarea","")</f>
        <v/>
      </c>
      <c r="U28" s="125"/>
      <c r="V28" s="169" t="b">
        <v>0</v>
      </c>
      <c r="W28" s="175"/>
      <c r="X28" s="5"/>
    </row>
    <row r="29" spans="1:24" ht="15" customHeight="1" outlineLevel="1" x14ac:dyDescent="0.3">
      <c r="A29" s="5"/>
      <c r="B29" s="225"/>
      <c r="C29" s="15"/>
      <c r="D29" s="158"/>
      <c r="E29" s="162" t="s">
        <v>157</v>
      </c>
      <c r="F29" s="325" t="s">
        <v>162</v>
      </c>
      <c r="G29" s="325"/>
      <c r="H29" s="325"/>
      <c r="I29" s="325"/>
      <c r="J29" s="325"/>
      <c r="K29" s="163"/>
      <c r="L29" s="164"/>
      <c r="M29" s="164"/>
      <c r="N29" s="165"/>
      <c r="O29" s="118"/>
      <c r="P29" s="123"/>
      <c r="Q29" s="158"/>
      <c r="R29" s="331" t="s">
        <v>163</v>
      </c>
      <c r="S29" s="331"/>
      <c r="T29" s="251" t="str">
        <f>IF(V29,"Adicionar Aprobación","")</f>
        <v/>
      </c>
      <c r="U29" s="125"/>
      <c r="V29" s="169" t="b">
        <v>0</v>
      </c>
      <c r="W29" s="175"/>
      <c r="X29" s="5"/>
    </row>
    <row r="30" spans="1:24" ht="15" customHeight="1" outlineLevel="1" x14ac:dyDescent="0.3">
      <c r="A30" s="5"/>
      <c r="B30" s="225"/>
      <c r="C30" s="15"/>
      <c r="D30" s="158"/>
      <c r="E30" s="162" t="s">
        <v>157</v>
      </c>
      <c r="F30" s="325" t="s">
        <v>164</v>
      </c>
      <c r="G30" s="325"/>
      <c r="H30" s="325"/>
      <c r="I30" s="325"/>
      <c r="J30" s="325"/>
      <c r="K30" s="163"/>
      <c r="L30" s="164"/>
      <c r="M30" s="164"/>
      <c r="N30" s="165"/>
      <c r="O30" s="118"/>
      <c r="P30" s="123"/>
      <c r="Q30" s="158"/>
      <c r="R30" s="331" t="s">
        <v>165</v>
      </c>
      <c r="S30" s="331"/>
      <c r="T30" s="251" t="str">
        <f>IF(V30,"Adicionar Notificación","")</f>
        <v/>
      </c>
      <c r="U30" s="125"/>
      <c r="V30" s="169" t="b">
        <v>0</v>
      </c>
      <c r="W30" s="175"/>
      <c r="X30" s="5"/>
    </row>
    <row r="31" spans="1:24" ht="17.25" customHeight="1" outlineLevel="1" x14ac:dyDescent="0.3">
      <c r="A31" s="5"/>
      <c r="B31" s="225"/>
      <c r="C31" s="15"/>
      <c r="D31" s="158"/>
      <c r="E31" s="162" t="s">
        <v>157</v>
      </c>
      <c r="F31" s="325" t="s">
        <v>166</v>
      </c>
      <c r="G31" s="325"/>
      <c r="H31" s="325"/>
      <c r="I31" s="325"/>
      <c r="J31" s="325"/>
      <c r="K31" s="163"/>
      <c r="L31" s="164"/>
      <c r="M31" s="164"/>
      <c r="N31" s="165"/>
      <c r="O31" s="118"/>
      <c r="P31" s="123"/>
      <c r="Q31" s="158"/>
      <c r="R31" s="338" t="s">
        <v>167</v>
      </c>
      <c r="S31" s="338"/>
      <c r="T31" s="215"/>
      <c r="U31" s="125"/>
      <c r="V31" s="169" t="b">
        <f>OR(V32:V38)</f>
        <v>0</v>
      </c>
      <c r="W31" s="175"/>
      <c r="X31" s="5"/>
    </row>
    <row r="32" spans="1:24" ht="15" customHeight="1" outlineLevel="1" x14ac:dyDescent="0.3">
      <c r="A32" s="5"/>
      <c r="B32" s="225"/>
      <c r="C32" s="15"/>
      <c r="D32" s="158"/>
      <c r="E32" s="162" t="s">
        <v>168</v>
      </c>
      <c r="F32" s="325" t="s">
        <v>169</v>
      </c>
      <c r="G32" s="325"/>
      <c r="H32" s="325"/>
      <c r="I32" s="325"/>
      <c r="J32" s="325"/>
      <c r="K32" s="163"/>
      <c r="L32" s="164"/>
      <c r="M32" s="164"/>
      <c r="N32" s="165"/>
      <c r="O32" s="118"/>
      <c r="P32" s="123"/>
      <c r="Q32" s="158"/>
      <c r="R32" s="345" t="s">
        <v>170</v>
      </c>
      <c r="S32" s="345"/>
      <c r="T32" s="251" t="str">
        <f>IF(V32,"Adicionar Plantillas y tarea","")</f>
        <v/>
      </c>
      <c r="U32" s="125"/>
      <c r="V32" s="169" t="b">
        <v>0</v>
      </c>
      <c r="W32" s="175"/>
      <c r="X32" s="5"/>
    </row>
    <row r="33" spans="1:24" ht="15" customHeight="1" outlineLevel="1" collapsed="1" x14ac:dyDescent="0.3">
      <c r="A33" s="5"/>
      <c r="B33" s="225"/>
      <c r="C33" s="15"/>
      <c r="D33" s="158"/>
      <c r="E33" s="162" t="s">
        <v>168</v>
      </c>
      <c r="F33" s="325" t="s">
        <v>171</v>
      </c>
      <c r="G33" s="325"/>
      <c r="H33" s="325"/>
      <c r="I33" s="325"/>
      <c r="J33" s="325"/>
      <c r="K33" s="163"/>
      <c r="L33" s="164"/>
      <c r="M33" s="164"/>
      <c r="N33" s="165"/>
      <c r="O33" s="118"/>
      <c r="P33" s="123"/>
      <c r="Q33" s="158"/>
      <c r="R33" s="345" t="s">
        <v>172</v>
      </c>
      <c r="S33" s="345"/>
      <c r="T33" s="251" t="str">
        <f>IF(V33,"Adicionar Plantillas y tarea","")</f>
        <v/>
      </c>
      <c r="U33" s="125"/>
      <c r="V33" s="169" t="b">
        <v>0</v>
      </c>
      <c r="W33" s="175"/>
      <c r="X33" s="5"/>
    </row>
    <row r="34" spans="1:24" ht="15" hidden="1" customHeight="1" outlineLevel="2" x14ac:dyDescent="0.3">
      <c r="A34" s="5"/>
      <c r="B34" s="225"/>
      <c r="C34" s="15"/>
      <c r="D34" s="158"/>
      <c r="E34" s="162"/>
      <c r="F34" s="222" t="s">
        <v>173</v>
      </c>
      <c r="G34" s="274"/>
      <c r="H34" s="274"/>
      <c r="I34" s="274"/>
      <c r="J34" s="274"/>
      <c r="K34" s="163"/>
      <c r="L34" s="164"/>
      <c r="M34" s="164"/>
      <c r="N34" s="165"/>
      <c r="O34" s="118"/>
      <c r="P34" s="123"/>
      <c r="Q34" s="158"/>
      <c r="R34" s="273"/>
      <c r="S34" s="273"/>
      <c r="T34" s="251"/>
      <c r="U34" s="125"/>
      <c r="V34" s="169"/>
      <c r="W34" s="175"/>
      <c r="X34" s="5"/>
    </row>
    <row r="35" spans="1:24" ht="15" hidden="1" customHeight="1" outlineLevel="2" x14ac:dyDescent="0.3">
      <c r="A35" s="5"/>
      <c r="B35" s="225"/>
      <c r="C35" s="15"/>
      <c r="D35" s="158"/>
      <c r="E35" s="162"/>
      <c r="F35" s="222" t="s">
        <v>174</v>
      </c>
      <c r="G35" s="274"/>
      <c r="H35" s="274"/>
      <c r="I35" s="274"/>
      <c r="J35" s="274"/>
      <c r="K35" s="163"/>
      <c r="L35" s="164"/>
      <c r="M35" s="164"/>
      <c r="N35" s="165"/>
      <c r="O35" s="118"/>
      <c r="P35" s="123"/>
      <c r="Q35" s="158"/>
      <c r="R35" s="273"/>
      <c r="S35" s="273"/>
      <c r="T35" s="251"/>
      <c r="U35" s="125"/>
      <c r="V35" s="169"/>
      <c r="W35" s="175"/>
      <c r="X35" s="5"/>
    </row>
    <row r="36" spans="1:24" ht="15" hidden="1" customHeight="1" outlineLevel="2" x14ac:dyDescent="0.3">
      <c r="A36" s="5"/>
      <c r="B36" s="225"/>
      <c r="C36" s="15"/>
      <c r="D36" s="158"/>
      <c r="E36" s="162"/>
      <c r="F36" s="222" t="s">
        <v>175</v>
      </c>
      <c r="G36" s="274"/>
      <c r="H36" s="274"/>
      <c r="I36" s="274"/>
      <c r="J36" s="274"/>
      <c r="K36" s="163"/>
      <c r="L36" s="164"/>
      <c r="M36" s="164"/>
      <c r="N36" s="165"/>
      <c r="O36" s="118"/>
      <c r="P36" s="123"/>
      <c r="Q36" s="158"/>
      <c r="R36" s="273"/>
      <c r="S36" s="273"/>
      <c r="T36" s="251"/>
      <c r="U36" s="125"/>
      <c r="V36" s="169"/>
      <c r="W36" s="175"/>
      <c r="X36" s="5"/>
    </row>
    <row r="37" spans="1:24" ht="15" hidden="1" customHeight="1" outlineLevel="2" x14ac:dyDescent="0.3">
      <c r="A37" s="5"/>
      <c r="B37" s="225"/>
      <c r="C37" s="15"/>
      <c r="D37" s="158"/>
      <c r="E37" s="162"/>
      <c r="F37" s="222" t="s">
        <v>176</v>
      </c>
      <c r="G37" s="274"/>
      <c r="H37" s="274"/>
      <c r="I37" s="274"/>
      <c r="J37" s="274"/>
      <c r="K37" s="163"/>
      <c r="L37" s="164"/>
      <c r="M37" s="164"/>
      <c r="N37" s="165"/>
      <c r="O37" s="118"/>
      <c r="P37" s="123"/>
      <c r="Q37" s="158"/>
      <c r="R37" s="273"/>
      <c r="S37" s="273"/>
      <c r="T37" s="251"/>
      <c r="U37" s="125"/>
      <c r="V37" s="169"/>
      <c r="W37" s="175"/>
      <c r="X37" s="5"/>
    </row>
    <row r="38" spans="1:24" ht="15" customHeight="1" outlineLevel="1" x14ac:dyDescent="0.3">
      <c r="A38" s="5"/>
      <c r="B38" s="225"/>
      <c r="C38" s="15"/>
      <c r="D38" s="158"/>
      <c r="E38" s="162" t="s">
        <v>168</v>
      </c>
      <c r="F38" s="325" t="s">
        <v>177</v>
      </c>
      <c r="G38" s="325"/>
      <c r="H38" s="325"/>
      <c r="I38" s="325"/>
      <c r="J38" s="325"/>
      <c r="K38" s="163"/>
      <c r="L38" s="164"/>
      <c r="M38" s="164"/>
      <c r="N38" s="165"/>
      <c r="O38" s="118"/>
      <c r="P38" s="123"/>
      <c r="Q38" s="158"/>
      <c r="R38" s="345" t="s">
        <v>178</v>
      </c>
      <c r="S38" s="345"/>
      <c r="T38" s="251" t="str">
        <f>IF(V38,"Adicionar Plantillas y tarea","")</f>
        <v/>
      </c>
      <c r="U38" s="125"/>
      <c r="V38" s="169" t="b">
        <v>0</v>
      </c>
      <c r="W38" s="175"/>
      <c r="X38" s="5"/>
    </row>
    <row r="39" spans="1:24" ht="15" customHeight="1" outlineLevel="2" x14ac:dyDescent="0.3">
      <c r="A39" s="5"/>
      <c r="B39" s="225"/>
      <c r="C39" s="15"/>
      <c r="D39" s="158"/>
      <c r="E39" s="162"/>
      <c r="F39" s="222" t="s">
        <v>179</v>
      </c>
      <c r="G39" s="274"/>
      <c r="H39" s="274"/>
      <c r="I39" s="274"/>
      <c r="J39" s="274"/>
      <c r="K39" s="163"/>
      <c r="L39" s="164"/>
      <c r="M39" s="164"/>
      <c r="N39" s="165"/>
      <c r="O39" s="118"/>
      <c r="P39" s="123"/>
      <c r="Q39" s="158"/>
      <c r="R39" s="331" t="s">
        <v>180</v>
      </c>
      <c r="S39" s="331"/>
      <c r="T39" s="251" t="str">
        <f>IF(V39,"Adicionar Plantilla y aprobación","")</f>
        <v/>
      </c>
      <c r="U39" s="125"/>
      <c r="V39" s="169" t="b">
        <v>0</v>
      </c>
      <c r="W39" s="175"/>
      <c r="X39" s="5"/>
    </row>
    <row r="40" spans="1:24" ht="15" customHeight="1" outlineLevel="2" x14ac:dyDescent="0.3">
      <c r="A40" s="5"/>
      <c r="B40" s="225" t="b">
        <v>0</v>
      </c>
      <c r="C40" s="15"/>
      <c r="D40" s="158"/>
      <c r="E40" s="162"/>
      <c r="F40" s="222" t="s">
        <v>181</v>
      </c>
      <c r="G40" s="274"/>
      <c r="H40" s="274"/>
      <c r="I40" s="274"/>
      <c r="J40" s="274"/>
      <c r="K40" s="163"/>
      <c r="L40" s="164"/>
      <c r="M40" s="164"/>
      <c r="N40" s="165"/>
      <c r="O40" s="118"/>
      <c r="P40" s="123"/>
      <c r="Q40" s="158"/>
      <c r="R40" s="325" t="s">
        <v>182</v>
      </c>
      <c r="S40" s="325"/>
      <c r="T40" s="251" t="str">
        <f>IF(V40,"Adicionar Aprobación","")</f>
        <v/>
      </c>
      <c r="U40" s="125"/>
      <c r="V40" s="169" t="b">
        <v>0</v>
      </c>
      <c r="W40" s="175"/>
      <c r="X40" s="5"/>
    </row>
    <row r="41" spans="1:24" ht="15" customHeight="1" outlineLevel="2" x14ac:dyDescent="0.3">
      <c r="A41" s="5"/>
      <c r="B41" s="225" t="b">
        <v>0</v>
      </c>
      <c r="C41" s="15"/>
      <c r="D41" s="158"/>
      <c r="E41" s="162"/>
      <c r="F41" s="222"/>
      <c r="G41" s="274"/>
      <c r="H41" s="274"/>
      <c r="I41" s="274"/>
      <c r="J41" s="274"/>
      <c r="K41" s="163"/>
      <c r="L41" s="164"/>
      <c r="M41" s="164"/>
      <c r="N41" s="165"/>
      <c r="O41" s="118"/>
      <c r="P41" s="123"/>
      <c r="Q41" s="158"/>
      <c r="R41" s="325" t="s">
        <v>183</v>
      </c>
      <c r="S41" s="325"/>
      <c r="T41" s="251" t="str">
        <f>IF(V41,"Adicionar Aprobación","")</f>
        <v/>
      </c>
      <c r="U41" s="125"/>
      <c r="V41" s="169" t="b">
        <v>0</v>
      </c>
      <c r="W41" s="175"/>
      <c r="X41" s="5"/>
    </row>
    <row r="42" spans="1:24" ht="15" customHeight="1" outlineLevel="1" x14ac:dyDescent="0.3">
      <c r="A42" s="5"/>
      <c r="B42" s="225"/>
      <c r="C42" s="15"/>
      <c r="D42" s="158"/>
      <c r="E42" s="162" t="s">
        <v>168</v>
      </c>
      <c r="F42" s="325" t="s">
        <v>184</v>
      </c>
      <c r="G42" s="325"/>
      <c r="H42" s="325"/>
      <c r="I42" s="325"/>
      <c r="J42" s="325"/>
      <c r="K42" s="163"/>
      <c r="L42" s="164"/>
      <c r="M42" s="164"/>
      <c r="N42" s="165"/>
      <c r="O42" s="118"/>
      <c r="P42" s="123"/>
      <c r="Q42" s="158"/>
      <c r="R42" s="331" t="s">
        <v>185</v>
      </c>
      <c r="S42" s="331"/>
      <c r="T42" s="251" t="str">
        <f>IF(V42,"Adicionar Plantillas y tarea","")</f>
        <v/>
      </c>
      <c r="U42" s="125"/>
      <c r="V42" s="169" t="b">
        <v>0</v>
      </c>
      <c r="W42" s="175"/>
      <c r="X42" s="5"/>
    </row>
    <row r="43" spans="1:24" ht="15" customHeight="1" outlineLevel="1" x14ac:dyDescent="0.3">
      <c r="A43" s="5"/>
      <c r="B43" s="225"/>
      <c r="C43" s="15"/>
      <c r="D43" s="158"/>
      <c r="E43" s="162" t="s">
        <v>186</v>
      </c>
      <c r="F43" s="325" t="s">
        <v>187</v>
      </c>
      <c r="G43" s="325"/>
      <c r="H43" s="325"/>
      <c r="I43" s="325"/>
      <c r="J43" s="325"/>
      <c r="K43" s="163"/>
      <c r="L43" s="164"/>
      <c r="M43" s="164"/>
      <c r="N43" s="165"/>
      <c r="O43" s="118"/>
      <c r="P43" s="123"/>
      <c r="Q43" s="125"/>
      <c r="R43" s="331" t="s">
        <v>188</v>
      </c>
      <c r="S43" s="331"/>
      <c r="T43" s="251" t="str">
        <f>IF(V43,"Adicionar Aprobación","")</f>
        <v/>
      </c>
      <c r="U43" s="125"/>
      <c r="V43" s="169" t="b">
        <v>0</v>
      </c>
      <c r="W43" s="175"/>
      <c r="X43" s="5"/>
    </row>
    <row r="44" spans="1:24" ht="15" customHeight="1" outlineLevel="1" collapsed="1" x14ac:dyDescent="0.3">
      <c r="A44" s="5"/>
      <c r="B44" s="225"/>
      <c r="C44" s="15"/>
      <c r="D44" s="158"/>
      <c r="E44" s="162" t="s">
        <v>186</v>
      </c>
      <c r="F44" s="325" t="s">
        <v>189</v>
      </c>
      <c r="G44" s="325"/>
      <c r="H44" s="325"/>
      <c r="I44" s="325"/>
      <c r="J44" s="325"/>
      <c r="K44" s="163"/>
      <c r="L44" s="164"/>
      <c r="M44" s="164"/>
      <c r="N44" s="165"/>
      <c r="O44" s="118"/>
      <c r="P44" s="123"/>
      <c r="Q44" s="125"/>
      <c r="R44" s="331" t="s">
        <v>190</v>
      </c>
      <c r="S44" s="331"/>
      <c r="T44" s="251" t="str">
        <f>IF(V44,"Adicionar Plantillas y tarea","")</f>
        <v/>
      </c>
      <c r="U44" s="125"/>
      <c r="V44" s="169" t="b">
        <v>0</v>
      </c>
      <c r="W44" s="175"/>
      <c r="X44" s="5"/>
    </row>
    <row r="45" spans="1:24" ht="15" hidden="1" customHeight="1" outlineLevel="2" x14ac:dyDescent="0.3">
      <c r="A45" s="5"/>
      <c r="B45" s="225"/>
      <c r="C45" s="15"/>
      <c r="D45" s="158"/>
      <c r="E45" s="162"/>
      <c r="F45" s="222" t="s">
        <v>173</v>
      </c>
      <c r="G45" s="274"/>
      <c r="H45" s="274"/>
      <c r="I45" s="274"/>
      <c r="J45" s="274"/>
      <c r="K45" s="163"/>
      <c r="L45" s="164"/>
      <c r="M45" s="164"/>
      <c r="N45" s="165"/>
      <c r="O45" s="118"/>
      <c r="P45" s="123"/>
      <c r="Q45" s="125"/>
      <c r="R45" s="272"/>
      <c r="S45" s="272"/>
      <c r="T45" s="125"/>
      <c r="U45" s="125"/>
      <c r="V45" s="169"/>
      <c r="W45" s="175"/>
      <c r="X45" s="5"/>
    </row>
    <row r="46" spans="1:24" ht="15" hidden="1" customHeight="1" outlineLevel="2" x14ac:dyDescent="0.3">
      <c r="A46" s="5"/>
      <c r="B46" s="225"/>
      <c r="C46" s="15"/>
      <c r="D46" s="158"/>
      <c r="E46" s="162"/>
      <c r="F46" s="222" t="s">
        <v>174</v>
      </c>
      <c r="G46" s="274"/>
      <c r="H46" s="274"/>
      <c r="I46" s="274"/>
      <c r="J46" s="274"/>
      <c r="K46" s="163"/>
      <c r="L46" s="164"/>
      <c r="M46" s="164"/>
      <c r="N46" s="165"/>
      <c r="O46" s="118"/>
      <c r="P46" s="123"/>
      <c r="Q46" s="125"/>
      <c r="R46" s="272"/>
      <c r="S46" s="272"/>
      <c r="T46" s="125"/>
      <c r="U46" s="125"/>
      <c r="V46" s="169"/>
      <c r="W46" s="175"/>
      <c r="X46" s="5"/>
    </row>
    <row r="47" spans="1:24" ht="15" hidden="1" customHeight="1" outlineLevel="2" x14ac:dyDescent="0.3">
      <c r="A47" s="5"/>
      <c r="B47" s="225"/>
      <c r="C47" s="15"/>
      <c r="D47" s="158"/>
      <c r="E47" s="162"/>
      <c r="F47" s="222" t="s">
        <v>175</v>
      </c>
      <c r="G47" s="274"/>
      <c r="H47" s="274"/>
      <c r="I47" s="274"/>
      <c r="J47" s="274"/>
      <c r="K47" s="163"/>
      <c r="L47" s="164"/>
      <c r="M47" s="164"/>
      <c r="N47" s="165"/>
      <c r="O47" s="118"/>
      <c r="P47" s="123"/>
      <c r="Q47" s="125"/>
      <c r="R47" s="272"/>
      <c r="S47" s="272"/>
      <c r="T47" s="125"/>
      <c r="U47" s="125"/>
      <c r="V47" s="169"/>
      <c r="W47" s="175"/>
      <c r="X47" s="5"/>
    </row>
    <row r="48" spans="1:24" ht="15" hidden="1" customHeight="1" outlineLevel="2" x14ac:dyDescent="0.3">
      <c r="A48" s="5"/>
      <c r="B48" s="225"/>
      <c r="C48" s="15"/>
      <c r="D48" s="158"/>
      <c r="E48" s="162"/>
      <c r="F48" s="222" t="s">
        <v>176</v>
      </c>
      <c r="G48" s="274"/>
      <c r="H48" s="274"/>
      <c r="I48" s="274"/>
      <c r="J48" s="274"/>
      <c r="K48" s="163"/>
      <c r="L48" s="164"/>
      <c r="M48" s="164"/>
      <c r="N48" s="165"/>
      <c r="O48" s="118"/>
      <c r="P48" s="123"/>
      <c r="Q48" s="125"/>
      <c r="R48" s="272"/>
      <c r="S48" s="272"/>
      <c r="T48" s="125"/>
      <c r="U48" s="125"/>
      <c r="V48" s="169"/>
      <c r="W48" s="175"/>
      <c r="X48" s="5"/>
    </row>
    <row r="49" spans="1:24" ht="15" customHeight="1" outlineLevel="1" collapsed="1" x14ac:dyDescent="0.3">
      <c r="A49" s="5"/>
      <c r="B49" s="225"/>
      <c r="C49" s="15"/>
      <c r="D49" s="158"/>
      <c r="E49" s="162" t="s">
        <v>186</v>
      </c>
      <c r="F49" s="325" t="s">
        <v>191</v>
      </c>
      <c r="G49" s="325"/>
      <c r="H49" s="325"/>
      <c r="I49" s="325"/>
      <c r="J49" s="325"/>
      <c r="K49" s="163"/>
      <c r="L49" s="164"/>
      <c r="M49" s="164"/>
      <c r="N49" s="165"/>
      <c r="O49" s="118"/>
      <c r="P49" s="123"/>
      <c r="Q49" s="78"/>
      <c r="R49" s="118" t="s">
        <v>192</v>
      </c>
      <c r="S49" s="419"/>
      <c r="T49" s="420"/>
      <c r="U49" s="190"/>
      <c r="V49" s="88"/>
      <c r="W49" s="179"/>
      <c r="X49" s="5"/>
    </row>
    <row r="50" spans="1:24" ht="15" hidden="1" customHeight="1" outlineLevel="2" x14ac:dyDescent="0.3">
      <c r="A50" s="5"/>
      <c r="B50" s="225"/>
      <c r="C50" s="15"/>
      <c r="D50" s="158"/>
      <c r="E50" s="162"/>
      <c r="F50" s="222" t="s">
        <v>193</v>
      </c>
      <c r="G50" s="274"/>
      <c r="H50" s="274"/>
      <c r="I50" s="274"/>
      <c r="J50" s="274"/>
      <c r="K50" s="163"/>
      <c r="L50" s="164"/>
      <c r="M50" s="164"/>
      <c r="N50" s="165"/>
      <c r="O50" s="118"/>
      <c r="P50" s="123"/>
      <c r="Q50" s="78"/>
      <c r="R50" s="118"/>
      <c r="S50" s="223"/>
      <c r="T50" s="223"/>
      <c r="U50" s="190"/>
      <c r="V50" s="88"/>
      <c r="W50" s="179"/>
      <c r="X50" s="5"/>
    </row>
    <row r="51" spans="1:24" ht="15" hidden="1" customHeight="1" outlineLevel="2" x14ac:dyDescent="0.3">
      <c r="A51" s="5"/>
      <c r="B51" s="225"/>
      <c r="C51" s="15"/>
      <c r="D51" s="158"/>
      <c r="E51" s="162"/>
      <c r="F51" s="222" t="s">
        <v>194</v>
      </c>
      <c r="G51" s="274"/>
      <c r="H51" s="274"/>
      <c r="I51" s="274"/>
      <c r="J51" s="274"/>
      <c r="K51" s="163"/>
      <c r="L51" s="164"/>
      <c r="M51" s="164"/>
      <c r="N51" s="165"/>
      <c r="O51" s="118"/>
      <c r="P51" s="123"/>
      <c r="Q51" s="78"/>
      <c r="R51" s="118"/>
      <c r="S51" s="223"/>
      <c r="T51" s="223"/>
      <c r="U51" s="190"/>
      <c r="V51" s="88"/>
      <c r="W51" s="179"/>
      <c r="X51" s="5"/>
    </row>
    <row r="52" spans="1:24" ht="15" customHeight="1" outlineLevel="1" x14ac:dyDescent="0.3">
      <c r="A52" s="5"/>
      <c r="B52" s="225"/>
      <c r="C52" s="15"/>
      <c r="D52" s="158"/>
      <c r="E52" s="162" t="s">
        <v>186</v>
      </c>
      <c r="F52" s="325" t="s">
        <v>195</v>
      </c>
      <c r="G52" s="325"/>
      <c r="H52" s="325"/>
      <c r="I52" s="325"/>
      <c r="J52" s="325"/>
      <c r="K52" s="163"/>
      <c r="L52" s="164"/>
      <c r="M52" s="164"/>
      <c r="N52" s="165"/>
      <c r="O52" s="118"/>
      <c r="P52" s="123"/>
      <c r="Q52" s="78"/>
      <c r="R52" s="118"/>
      <c r="S52" s="156"/>
      <c r="T52" s="191"/>
      <c r="U52" s="190"/>
      <c r="V52" s="88"/>
      <c r="W52" s="179"/>
      <c r="X52" s="5"/>
    </row>
    <row r="53" spans="1:24" ht="15" customHeight="1" outlineLevel="1" x14ac:dyDescent="0.3">
      <c r="A53" s="5"/>
      <c r="B53" s="225"/>
      <c r="C53" s="15"/>
      <c r="D53" s="158"/>
      <c r="E53" s="162" t="s">
        <v>196</v>
      </c>
      <c r="F53" s="325" t="s">
        <v>197</v>
      </c>
      <c r="G53" s="325"/>
      <c r="H53" s="325"/>
      <c r="I53" s="325"/>
      <c r="J53" s="325"/>
      <c r="K53" s="163"/>
      <c r="L53" s="164"/>
      <c r="M53" s="164"/>
      <c r="N53" s="165"/>
      <c r="O53" s="118"/>
      <c r="P53" s="123"/>
      <c r="Q53" s="139"/>
      <c r="R53" s="366" t="s">
        <v>198</v>
      </c>
      <c r="S53" s="366"/>
      <c r="T53" s="366"/>
      <c r="U53" s="367"/>
      <c r="V53" s="169" t="b">
        <v>0</v>
      </c>
      <c r="W53" s="179"/>
      <c r="X53" s="5"/>
    </row>
    <row r="54" spans="1:24" ht="15" customHeight="1" outlineLevel="1" x14ac:dyDescent="0.3">
      <c r="A54" s="5"/>
      <c r="B54" s="225"/>
      <c r="C54" s="15"/>
      <c r="D54" s="158"/>
      <c r="E54" s="162" t="s">
        <v>199</v>
      </c>
      <c r="F54" s="325" t="s">
        <v>200</v>
      </c>
      <c r="G54" s="325"/>
      <c r="H54" s="325"/>
      <c r="I54" s="325"/>
      <c r="J54" s="325"/>
      <c r="K54" s="163"/>
      <c r="L54" s="164"/>
      <c r="M54" s="164"/>
      <c r="N54" s="165"/>
      <c r="O54" s="118"/>
      <c r="P54" s="123"/>
      <c r="Q54" s="140"/>
      <c r="R54" s="365" t="s">
        <v>201</v>
      </c>
      <c r="S54" s="365"/>
      <c r="T54" s="365"/>
      <c r="U54" s="418"/>
      <c r="V54" s="188"/>
      <c r="W54" s="179"/>
      <c r="X54" s="5"/>
    </row>
    <row r="55" spans="1:24" ht="15" customHeight="1" outlineLevel="1" x14ac:dyDescent="0.3">
      <c r="A55" s="5"/>
      <c r="B55" s="225"/>
      <c r="C55" s="15"/>
      <c r="D55" s="158"/>
      <c r="E55" s="162" t="s">
        <v>202</v>
      </c>
      <c r="F55" s="325" t="s">
        <v>203</v>
      </c>
      <c r="G55" s="325"/>
      <c r="H55" s="325"/>
      <c r="I55" s="325"/>
      <c r="J55" s="325"/>
      <c r="K55" s="163"/>
      <c r="L55" s="164"/>
      <c r="M55" s="164"/>
      <c r="N55" s="165"/>
      <c r="O55" s="118"/>
      <c r="P55" s="123"/>
      <c r="Q55" s="141"/>
      <c r="R55" s="81"/>
      <c r="S55" s="138" t="s">
        <v>204</v>
      </c>
      <c r="T55" s="192"/>
      <c r="U55" s="193"/>
      <c r="V55" s="188"/>
      <c r="W55" s="179"/>
      <c r="X55" s="5"/>
    </row>
    <row r="56" spans="1:24" s="78" customFormat="1" ht="16.5" customHeight="1" outlineLevel="1" x14ac:dyDescent="0.3">
      <c r="B56" s="226"/>
      <c r="C56" s="155"/>
      <c r="E56" s="162" t="s">
        <v>205</v>
      </c>
      <c r="F56" s="325" t="s">
        <v>206</v>
      </c>
      <c r="G56" s="325"/>
      <c r="H56" s="325"/>
      <c r="I56" s="325"/>
      <c r="J56" s="325"/>
      <c r="K56" s="118"/>
      <c r="L56" s="164"/>
      <c r="M56" s="164"/>
      <c r="N56" s="165"/>
      <c r="O56" s="118"/>
      <c r="P56" s="123"/>
      <c r="Q56" s="141"/>
      <c r="R56" s="81"/>
      <c r="S56" s="332" t="s">
        <v>207</v>
      </c>
      <c r="T56" s="332"/>
      <c r="U56" s="333"/>
      <c r="V56" s="194"/>
      <c r="W56" s="195"/>
    </row>
    <row r="57" spans="1:24" ht="15" customHeight="1" outlineLevel="1" x14ac:dyDescent="0.3">
      <c r="A57" s="5"/>
      <c r="B57" s="225"/>
      <c r="C57" s="15"/>
      <c r="D57" s="5"/>
      <c r="E57" s="368" t="s">
        <v>208</v>
      </c>
      <c r="F57" s="368"/>
      <c r="G57" s="368"/>
      <c r="H57" s="368"/>
      <c r="I57" s="368"/>
      <c r="J57" s="272"/>
      <c r="K57" s="118"/>
      <c r="L57" s="121"/>
      <c r="M57" s="121"/>
      <c r="N57" s="122"/>
      <c r="O57" s="118"/>
      <c r="P57" s="123"/>
      <c r="Q57" s="141"/>
      <c r="R57" s="365" t="s">
        <v>209</v>
      </c>
      <c r="S57" s="365"/>
      <c r="T57" s="192" t="s">
        <v>210</v>
      </c>
      <c r="U57" s="193"/>
      <c r="V57" s="188"/>
      <c r="W57" s="179"/>
      <c r="X57" s="5"/>
    </row>
    <row r="58" spans="1:24" ht="15" customHeight="1" outlineLevel="1" x14ac:dyDescent="0.3">
      <c r="A58" s="5"/>
      <c r="B58" s="225"/>
      <c r="C58" s="15"/>
      <c r="D58" s="5"/>
      <c r="E58" s="339"/>
      <c r="F58" s="340"/>
      <c r="G58" s="340"/>
      <c r="H58" s="340"/>
      <c r="I58" s="340"/>
      <c r="J58" s="341"/>
      <c r="K58" s="118"/>
      <c r="L58" s="118"/>
      <c r="M58" s="118"/>
      <c r="N58" s="78"/>
      <c r="O58" s="81"/>
      <c r="P58" s="123"/>
      <c r="Q58" s="142"/>
      <c r="R58" s="143"/>
      <c r="S58" s="144"/>
      <c r="T58" s="196" t="s">
        <v>211</v>
      </c>
      <c r="U58" s="197"/>
      <c r="V58" s="188"/>
      <c r="W58" s="179"/>
      <c r="X58" s="5"/>
    </row>
    <row r="59" spans="1:24" ht="15" customHeight="1" outlineLevel="1" x14ac:dyDescent="0.3">
      <c r="A59" s="5"/>
      <c r="B59" s="225"/>
      <c r="C59" s="15"/>
      <c r="D59" s="5"/>
      <c r="E59" s="342"/>
      <c r="F59" s="343"/>
      <c r="G59" s="343"/>
      <c r="H59" s="343"/>
      <c r="I59" s="343"/>
      <c r="J59" s="344"/>
      <c r="K59" s="118"/>
      <c r="L59" s="118"/>
      <c r="M59" s="118"/>
      <c r="N59" s="78"/>
      <c r="O59" s="81"/>
      <c r="P59" s="123"/>
      <c r="Q59" s="78"/>
      <c r="R59" s="78"/>
      <c r="S59" s="78"/>
      <c r="T59" s="187"/>
      <c r="U59" s="187"/>
      <c r="V59" s="188"/>
      <c r="W59" s="179"/>
      <c r="X59" s="5"/>
    </row>
    <row r="60" spans="1:24" ht="15" customHeight="1" outlineLevel="1" x14ac:dyDescent="0.3">
      <c r="A60" s="5"/>
      <c r="B60" s="225"/>
      <c r="C60" s="15"/>
      <c r="D60" s="5"/>
      <c r="E60" s="78"/>
      <c r="F60" s="78"/>
      <c r="G60" s="78"/>
      <c r="H60" s="78"/>
      <c r="I60" s="78"/>
      <c r="J60" s="78"/>
      <c r="K60" s="118"/>
      <c r="L60" s="118"/>
      <c r="M60" s="118"/>
      <c r="N60" s="78"/>
      <c r="O60" s="81"/>
      <c r="P60" s="123"/>
      <c r="Q60" s="78"/>
      <c r="R60" s="78"/>
      <c r="S60" s="78"/>
      <c r="T60" s="187"/>
      <c r="U60" s="187"/>
      <c r="V60" s="188"/>
      <c r="W60" s="179"/>
      <c r="X60" s="5"/>
    </row>
    <row r="61" spans="1:24" ht="3" customHeight="1" outlineLevel="1" x14ac:dyDescent="0.3">
      <c r="A61" s="5"/>
      <c r="B61" s="225"/>
      <c r="C61" s="16"/>
      <c r="D61" s="17"/>
      <c r="E61" s="17"/>
      <c r="F61" s="17"/>
      <c r="G61" s="17"/>
      <c r="H61" s="17"/>
      <c r="I61" s="17"/>
      <c r="J61" s="17"/>
      <c r="K61" s="17"/>
      <c r="L61" s="17"/>
      <c r="M61" s="17"/>
      <c r="N61" s="17"/>
      <c r="O61" s="17"/>
      <c r="P61" s="17"/>
      <c r="Q61" s="17"/>
      <c r="R61" s="17"/>
      <c r="S61" s="17"/>
      <c r="T61" s="198"/>
      <c r="U61" s="198"/>
      <c r="V61" s="199"/>
      <c r="W61" s="179"/>
      <c r="X61" s="5"/>
    </row>
    <row r="62" spans="1:24" s="114" customFormat="1" ht="15.75" customHeight="1" x14ac:dyDescent="0.3">
      <c r="A62" s="112"/>
      <c r="B62" s="227"/>
      <c r="C62" s="126" t="s">
        <v>212</v>
      </c>
      <c r="D62" s="113"/>
      <c r="E62" s="113"/>
      <c r="F62" s="113"/>
      <c r="G62" s="113"/>
      <c r="H62" s="113"/>
      <c r="I62" s="113"/>
      <c r="J62" s="113"/>
      <c r="K62" s="113"/>
      <c r="L62" s="113"/>
      <c r="M62" s="113"/>
      <c r="N62" s="113"/>
      <c r="O62" s="113"/>
      <c r="P62" s="113"/>
      <c r="Q62" s="113"/>
      <c r="R62" s="113"/>
      <c r="S62" s="113"/>
      <c r="T62" s="200"/>
      <c r="U62" s="200"/>
      <c r="V62" s="200"/>
      <c r="W62" s="201"/>
      <c r="X62" s="112"/>
    </row>
    <row r="63" spans="1:24" ht="3" customHeight="1" x14ac:dyDescent="0.3">
      <c r="A63" s="5"/>
      <c r="B63" s="225"/>
      <c r="C63" s="110"/>
      <c r="D63" s="109"/>
      <c r="E63" s="109"/>
      <c r="F63" s="109"/>
      <c r="G63" s="109"/>
      <c r="H63" s="109"/>
      <c r="I63" s="109"/>
      <c r="J63" s="109"/>
      <c r="K63" s="109"/>
      <c r="L63" s="109"/>
      <c r="M63" s="109"/>
      <c r="N63" s="109"/>
      <c r="O63" s="109"/>
      <c r="P63" s="109"/>
      <c r="Q63" s="109"/>
      <c r="R63" s="109"/>
      <c r="S63" s="109"/>
      <c r="T63" s="176"/>
      <c r="U63" s="176"/>
      <c r="V63" s="176"/>
      <c r="W63" s="179"/>
      <c r="X63" s="5"/>
    </row>
    <row r="64" spans="1:24" x14ac:dyDescent="0.3">
      <c r="A64" s="5"/>
      <c r="B64" s="225"/>
      <c r="C64" s="356" t="s">
        <v>0</v>
      </c>
      <c r="D64" s="357"/>
      <c r="E64" s="357"/>
      <c r="F64" s="357"/>
      <c r="G64" s="357"/>
      <c r="H64" s="357"/>
      <c r="I64" s="357"/>
      <c r="J64" s="357"/>
      <c r="K64" s="357"/>
      <c r="L64" s="357"/>
      <c r="M64" s="357"/>
      <c r="N64" s="357"/>
      <c r="O64" s="357"/>
      <c r="P64" s="357"/>
      <c r="Q64" s="357"/>
      <c r="R64" s="357"/>
      <c r="S64" s="357"/>
      <c r="T64" s="357"/>
      <c r="U64" s="357"/>
      <c r="V64" s="358"/>
      <c r="W64" s="179"/>
      <c r="X64" s="5"/>
    </row>
    <row r="65" spans="1:24" ht="3.75" customHeight="1" outlineLevel="1" x14ac:dyDescent="0.3">
      <c r="A65" s="5"/>
      <c r="B65" s="225"/>
      <c r="C65" s="5"/>
      <c r="D65" s="5"/>
      <c r="E65" s="5"/>
      <c r="F65" s="5"/>
      <c r="G65" s="5"/>
      <c r="H65" s="5"/>
      <c r="I65" s="5"/>
      <c r="J65" s="5"/>
      <c r="K65" s="5"/>
      <c r="L65" s="5"/>
      <c r="M65" s="5"/>
      <c r="N65" s="5"/>
      <c r="O65" s="5"/>
      <c r="P65" s="5"/>
      <c r="Q65" s="5"/>
      <c r="R65" s="5"/>
      <c r="S65" s="5"/>
      <c r="T65" s="176"/>
      <c r="U65" s="176"/>
      <c r="V65" s="176"/>
      <c r="W65" s="179"/>
      <c r="X65" s="5"/>
    </row>
    <row r="66" spans="1:24" ht="24" customHeight="1" outlineLevel="1" x14ac:dyDescent="0.3">
      <c r="A66" s="5"/>
      <c r="B66" s="225"/>
      <c r="C66" s="19">
        <v>1</v>
      </c>
      <c r="D66" s="326" t="s">
        <v>213</v>
      </c>
      <c r="E66" s="326"/>
      <c r="F66" s="326"/>
      <c r="G66" s="326"/>
      <c r="H66" s="326"/>
      <c r="I66" s="326"/>
      <c r="J66" s="327"/>
      <c r="K66" s="115"/>
      <c r="L66" s="362" t="s">
        <v>5</v>
      </c>
      <c r="M66" s="363"/>
      <c r="N66" s="363"/>
      <c r="O66" s="363"/>
      <c r="P66" s="363"/>
      <c r="Q66" s="363"/>
      <c r="R66" s="363"/>
      <c r="S66" s="363"/>
      <c r="T66" s="363"/>
      <c r="U66" s="364"/>
      <c r="V66" s="232">
        <f>+VLOOKUP(L66,Data!B3:C9,2,)</f>
        <v>1</v>
      </c>
      <c r="W66" s="179"/>
      <c r="X66" s="5"/>
    </row>
    <row r="67" spans="1:24" ht="24" customHeight="1" outlineLevel="1" x14ac:dyDescent="0.3">
      <c r="A67" s="5"/>
      <c r="B67" s="225"/>
      <c r="C67" s="19">
        <v>2</v>
      </c>
      <c r="D67" s="326" t="s">
        <v>214</v>
      </c>
      <c r="E67" s="326"/>
      <c r="F67" s="326"/>
      <c r="G67" s="326"/>
      <c r="H67" s="326"/>
      <c r="I67" s="326"/>
      <c r="J67" s="327"/>
      <c r="K67" s="115"/>
      <c r="L67" s="328" t="s">
        <v>11</v>
      </c>
      <c r="M67" s="329"/>
      <c r="N67" s="329"/>
      <c r="O67" s="329"/>
      <c r="P67" s="329"/>
      <c r="Q67" s="329"/>
      <c r="R67" s="329"/>
      <c r="S67" s="329"/>
      <c r="T67" s="329"/>
      <c r="U67" s="330"/>
      <c r="V67" s="232">
        <f>+VLOOKUP(L67,Data!B12:C16,2,)</f>
        <v>1</v>
      </c>
      <c r="W67" s="179"/>
      <c r="X67" s="5"/>
    </row>
    <row r="68" spans="1:24" ht="24" customHeight="1" outlineLevel="1" x14ac:dyDescent="0.3">
      <c r="A68" s="5"/>
      <c r="B68" s="225"/>
      <c r="C68" s="19">
        <v>3</v>
      </c>
      <c r="D68" s="326" t="s">
        <v>215</v>
      </c>
      <c r="E68" s="326"/>
      <c r="F68" s="326"/>
      <c r="G68" s="326"/>
      <c r="H68" s="326"/>
      <c r="I68" s="326"/>
      <c r="J68" s="327"/>
      <c r="K68" s="115"/>
      <c r="L68" s="328" t="s">
        <v>17</v>
      </c>
      <c r="M68" s="329"/>
      <c r="N68" s="329"/>
      <c r="O68" s="329"/>
      <c r="P68" s="329"/>
      <c r="Q68" s="329"/>
      <c r="R68" s="329"/>
      <c r="S68" s="329"/>
      <c r="T68" s="329"/>
      <c r="U68" s="330"/>
      <c r="V68" s="232">
        <f>+VLOOKUP(L68,Data!B19:C23,2,)</f>
        <v>2</v>
      </c>
      <c r="W68" s="179"/>
      <c r="X68" s="5"/>
    </row>
    <row r="69" spans="1:24" ht="24" customHeight="1" outlineLevel="1" x14ac:dyDescent="0.3">
      <c r="A69" s="5"/>
      <c r="B69" s="225"/>
      <c r="C69" s="19">
        <v>4</v>
      </c>
      <c r="D69" s="326" t="s">
        <v>216</v>
      </c>
      <c r="E69" s="326"/>
      <c r="F69" s="326"/>
      <c r="G69" s="326"/>
      <c r="H69" s="326"/>
      <c r="I69" s="326"/>
      <c r="J69" s="327"/>
      <c r="K69" s="115"/>
      <c r="L69" s="328" t="s">
        <v>23</v>
      </c>
      <c r="M69" s="329"/>
      <c r="N69" s="329"/>
      <c r="O69" s="329"/>
      <c r="P69" s="329"/>
      <c r="Q69" s="329"/>
      <c r="R69" s="329"/>
      <c r="S69" s="329"/>
      <c r="T69" s="329"/>
      <c r="U69" s="330"/>
      <c r="V69" s="232">
        <f>+VLOOKUP(L69,Data!B26:C31,2,)</f>
        <v>3</v>
      </c>
      <c r="W69" s="179"/>
      <c r="X69" s="5"/>
    </row>
    <row r="70" spans="1:24" ht="24" customHeight="1" outlineLevel="1" x14ac:dyDescent="0.3">
      <c r="A70" s="5"/>
      <c r="B70" s="225"/>
      <c r="C70" s="19">
        <v>5</v>
      </c>
      <c r="D70" s="326" t="s">
        <v>26</v>
      </c>
      <c r="E70" s="326"/>
      <c r="F70" s="326"/>
      <c r="G70" s="326"/>
      <c r="H70" s="326"/>
      <c r="I70" s="326"/>
      <c r="J70" s="327"/>
      <c r="K70" s="115"/>
      <c r="L70" s="328" t="s">
        <v>31</v>
      </c>
      <c r="M70" s="329"/>
      <c r="N70" s="329"/>
      <c r="O70" s="329"/>
      <c r="P70" s="329"/>
      <c r="Q70" s="329"/>
      <c r="R70" s="329"/>
      <c r="S70" s="329"/>
      <c r="T70" s="329"/>
      <c r="U70" s="330"/>
      <c r="V70" s="232">
        <f>+VLOOKUP(L70,Data!B34:C39,2,)</f>
        <v>5</v>
      </c>
      <c r="W70" s="179"/>
      <c r="X70" s="5"/>
    </row>
    <row r="71" spans="1:24" ht="24" customHeight="1" outlineLevel="1" x14ac:dyDescent="0.3">
      <c r="A71" s="5"/>
      <c r="B71" s="225"/>
      <c r="C71" s="19">
        <v>6</v>
      </c>
      <c r="D71" s="326" t="s">
        <v>32</v>
      </c>
      <c r="E71" s="326"/>
      <c r="F71" s="326"/>
      <c r="G71" s="326"/>
      <c r="H71" s="326"/>
      <c r="I71" s="326"/>
      <c r="J71" s="327"/>
      <c r="K71" s="115"/>
      <c r="L71" s="415" t="s">
        <v>4</v>
      </c>
      <c r="M71" s="416"/>
      <c r="N71" s="416"/>
      <c r="O71" s="416"/>
      <c r="P71" s="416"/>
      <c r="Q71" s="416"/>
      <c r="R71" s="416"/>
      <c r="S71" s="416"/>
      <c r="T71" s="416"/>
      <c r="U71" s="417"/>
      <c r="V71" s="232">
        <f>+VLOOKUP(L71,Data!B42:C47,2,)</f>
        <v>0</v>
      </c>
      <c r="W71" s="179"/>
      <c r="X71" s="5"/>
    </row>
    <row r="72" spans="1:24" ht="3.75" customHeight="1" thickBot="1" x14ac:dyDescent="0.35">
      <c r="A72" s="5"/>
      <c r="B72" s="225"/>
      <c r="C72" s="5"/>
      <c r="D72" s="5"/>
      <c r="E72" s="5"/>
      <c r="F72" s="5"/>
      <c r="G72" s="5"/>
      <c r="H72" s="5"/>
      <c r="I72" s="5"/>
      <c r="J72" s="5"/>
      <c r="K72" s="5"/>
      <c r="L72" s="5"/>
      <c r="M72" s="5"/>
      <c r="N72" s="5"/>
      <c r="O72" s="5"/>
      <c r="P72" s="5"/>
      <c r="Q72" s="5"/>
      <c r="R72" s="5"/>
      <c r="S72" s="5"/>
      <c r="T72" s="176"/>
      <c r="U72" s="176"/>
      <c r="V72" s="76"/>
      <c r="W72" s="179"/>
      <c r="X72" s="5"/>
    </row>
    <row r="73" spans="1:24" ht="15" thickBot="1" x14ac:dyDescent="0.35">
      <c r="A73" s="5"/>
      <c r="B73" s="225"/>
      <c r="C73" s="5"/>
      <c r="D73" s="5"/>
      <c r="E73" s="5"/>
      <c r="F73" s="5"/>
      <c r="G73" s="5"/>
      <c r="H73" s="351" t="s">
        <v>217</v>
      </c>
      <c r="I73" s="351"/>
      <c r="J73" s="351"/>
      <c r="K73" s="270"/>
      <c r="L73" s="382"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83"/>
      <c r="N73" s="383"/>
      <c r="O73" s="383"/>
      <c r="P73" s="383"/>
      <c r="Q73" s="383"/>
      <c r="R73" s="383"/>
      <c r="S73" s="384"/>
      <c r="T73" s="202"/>
      <c r="U73" s="203"/>
      <c r="V73" s="236">
        <f>+SUM($V$66+$V$67+$V$68+$V$69+$V$70+$V$71)</f>
        <v>12</v>
      </c>
      <c r="W73" s="204"/>
      <c r="X73" s="5"/>
    </row>
    <row r="74" spans="1:24" ht="4.5" customHeight="1" x14ac:dyDescent="0.3">
      <c r="A74" s="5"/>
      <c r="B74" s="225"/>
      <c r="C74" s="5"/>
      <c r="D74" s="5"/>
      <c r="E74" s="5"/>
      <c r="F74" s="5"/>
      <c r="G74" s="5"/>
      <c r="H74" s="5"/>
      <c r="I74" s="5"/>
      <c r="J74" s="5"/>
      <c r="K74" s="5"/>
      <c r="L74" s="5"/>
      <c r="M74" s="5"/>
      <c r="N74" s="5"/>
      <c r="O74" s="5"/>
      <c r="P74" s="5"/>
      <c r="Q74" s="5"/>
      <c r="R74" s="5"/>
      <c r="S74" s="5"/>
      <c r="T74" s="176"/>
      <c r="U74" s="176"/>
      <c r="V74" s="176"/>
      <c r="W74" s="179"/>
      <c r="X74" s="5"/>
    </row>
    <row r="75" spans="1:24" ht="18" customHeight="1" x14ac:dyDescent="0.3">
      <c r="A75" s="5"/>
      <c r="B75" s="225"/>
      <c r="C75" s="356" t="s">
        <v>37</v>
      </c>
      <c r="D75" s="357"/>
      <c r="E75" s="357"/>
      <c r="F75" s="357"/>
      <c r="G75" s="357"/>
      <c r="H75" s="357"/>
      <c r="I75" s="357"/>
      <c r="J75" s="357"/>
      <c r="K75" s="357"/>
      <c r="L75" s="357"/>
      <c r="M75" s="357"/>
      <c r="N75" s="357"/>
      <c r="O75" s="357"/>
      <c r="P75" s="357"/>
      <c r="Q75" s="357"/>
      <c r="R75" s="357"/>
      <c r="S75" s="357"/>
      <c r="T75" s="357"/>
      <c r="U75" s="357"/>
      <c r="V75" s="358"/>
      <c r="W75" s="179"/>
      <c r="X75" s="5"/>
    </row>
    <row r="76" spans="1:24" ht="3.75" customHeight="1" outlineLevel="1" x14ac:dyDescent="0.3">
      <c r="A76" s="5"/>
      <c r="B76" s="225"/>
      <c r="C76" s="5"/>
      <c r="D76" s="5"/>
      <c r="E76" s="5"/>
      <c r="F76" s="5"/>
      <c r="G76" s="5"/>
      <c r="H76" s="5"/>
      <c r="I76" s="5"/>
      <c r="J76" s="5"/>
      <c r="K76" s="5"/>
      <c r="L76" s="5"/>
      <c r="M76" s="5"/>
      <c r="N76" s="5"/>
      <c r="O76" s="5"/>
      <c r="P76" s="5"/>
      <c r="Q76" s="5"/>
      <c r="R76" s="5"/>
      <c r="S76" s="5"/>
      <c r="T76" s="176"/>
      <c r="U76" s="176"/>
      <c r="V76" s="176"/>
      <c r="W76" s="179"/>
      <c r="X76" s="5"/>
    </row>
    <row r="77" spans="1:24" ht="17.25" customHeight="1" outlineLevel="1" x14ac:dyDescent="0.3">
      <c r="A77" s="5"/>
      <c r="B77" s="225"/>
      <c r="C77" s="19">
        <v>1</v>
      </c>
      <c r="D77" s="335" t="s">
        <v>218</v>
      </c>
      <c r="E77" s="335"/>
      <c r="F77" s="335"/>
      <c r="G77" s="335"/>
      <c r="H77" s="335"/>
      <c r="I77" s="335"/>
      <c r="J77" s="335"/>
      <c r="K77" s="336"/>
      <c r="L77" s="115"/>
      <c r="M77" s="76" t="b">
        <f>OR(M79:M81,V78:V81)</f>
        <v>0</v>
      </c>
      <c r="N77" s="5"/>
      <c r="O77" s="5"/>
      <c r="P77" s="5"/>
      <c r="Q77" s="5"/>
      <c r="R77" s="5"/>
      <c r="S77" s="5"/>
      <c r="T77" s="176"/>
      <c r="U77" s="176"/>
      <c r="V77" s="76"/>
      <c r="W77" s="229"/>
      <c r="X77" s="5"/>
    </row>
    <row r="78" spans="1:24" ht="30" customHeight="1" outlineLevel="1" x14ac:dyDescent="0.3">
      <c r="A78" s="5"/>
      <c r="B78" s="225"/>
      <c r="C78" s="132" t="str">
        <f>+IF(M78=TRUE, "0","3")</f>
        <v>0</v>
      </c>
      <c r="D78" s="390" t="s">
        <v>81</v>
      </c>
      <c r="E78" s="390"/>
      <c r="F78" s="390"/>
      <c r="G78" s="390"/>
      <c r="H78" s="390"/>
      <c r="I78" s="390"/>
      <c r="J78" s="390"/>
      <c r="K78" s="390"/>
      <c r="L78" s="390"/>
      <c r="M78" s="137" t="b">
        <v>1</v>
      </c>
      <c r="N78" s="132" t="str">
        <f>+IF(V78=TRUE, "3","0")</f>
        <v>0</v>
      </c>
      <c r="O78" s="334" t="s">
        <v>85</v>
      </c>
      <c r="P78" s="334"/>
      <c r="Q78" s="334"/>
      <c r="R78" s="334"/>
      <c r="S78" s="334"/>
      <c r="T78" s="334"/>
      <c r="U78" s="334"/>
      <c r="V78" s="230" t="b">
        <v>0</v>
      </c>
      <c r="W78" s="229"/>
      <c r="X78" s="5"/>
    </row>
    <row r="79" spans="1:24" ht="46.5" customHeight="1" outlineLevel="1" x14ac:dyDescent="0.3">
      <c r="A79" s="5"/>
      <c r="B79" s="225"/>
      <c r="C79" s="132" t="str">
        <f>+IF(M79=TRUE,"3","0")</f>
        <v>0</v>
      </c>
      <c r="D79" s="413" t="s">
        <v>82</v>
      </c>
      <c r="E79" s="413"/>
      <c r="F79" s="413"/>
      <c r="G79" s="413"/>
      <c r="H79" s="413"/>
      <c r="I79" s="413"/>
      <c r="J79" s="413"/>
      <c r="K79" s="413"/>
      <c r="L79" s="413"/>
      <c r="M79" s="137" t="b">
        <v>0</v>
      </c>
      <c r="N79" s="132" t="str">
        <f>IF(V79=TRUE,"3","0")</f>
        <v>0</v>
      </c>
      <c r="O79" s="334" t="s">
        <v>86</v>
      </c>
      <c r="P79" s="334"/>
      <c r="Q79" s="334"/>
      <c r="R79" s="334"/>
      <c r="S79" s="334"/>
      <c r="T79" s="334"/>
      <c r="U79" s="334"/>
      <c r="V79" s="231" t="b">
        <v>0</v>
      </c>
      <c r="W79" s="229"/>
      <c r="X79" s="5"/>
    </row>
    <row r="80" spans="1:24" ht="31.5" customHeight="1" outlineLevel="1" x14ac:dyDescent="0.3">
      <c r="A80" s="5"/>
      <c r="B80" s="225"/>
      <c r="C80" s="132" t="str">
        <f>IF(M80=TRUE,"3","0")</f>
        <v>0</v>
      </c>
      <c r="D80" s="414" t="s">
        <v>83</v>
      </c>
      <c r="E80" s="414"/>
      <c r="F80" s="414"/>
      <c r="G80" s="414"/>
      <c r="H80" s="414"/>
      <c r="I80" s="414"/>
      <c r="J80" s="414"/>
      <c r="K80" s="414"/>
      <c r="L80" s="414"/>
      <c r="M80" s="137" t="b">
        <v>0</v>
      </c>
      <c r="N80" s="132" t="str">
        <f>IF(V80=TRUE,"3","0")</f>
        <v>0</v>
      </c>
      <c r="O80" s="334" t="s">
        <v>87</v>
      </c>
      <c r="P80" s="334"/>
      <c r="Q80" s="334"/>
      <c r="R80" s="334"/>
      <c r="S80" s="334"/>
      <c r="T80" s="334"/>
      <c r="U80" s="334"/>
      <c r="V80" s="231" t="b">
        <v>0</v>
      </c>
      <c r="W80" s="229"/>
      <c r="X80" s="5"/>
    </row>
    <row r="81" spans="1:24" ht="49.5" customHeight="1" outlineLevel="1" x14ac:dyDescent="0.3">
      <c r="A81" s="5"/>
      <c r="B81" s="225"/>
      <c r="C81" s="132" t="str">
        <f>IF(M81=TRUE,"4","0")</f>
        <v>0</v>
      </c>
      <c r="D81" s="394" t="s">
        <v>84</v>
      </c>
      <c r="E81" s="394"/>
      <c r="F81" s="394"/>
      <c r="G81" s="394"/>
      <c r="H81" s="394"/>
      <c r="I81" s="394"/>
      <c r="J81" s="394"/>
      <c r="K81" s="394"/>
      <c r="L81" s="394"/>
      <c r="M81" s="137" t="b">
        <v>0</v>
      </c>
      <c r="N81" s="132" t="str">
        <f>IF(V81=TRUE,"3","0")</f>
        <v>0</v>
      </c>
      <c r="O81" s="393" t="s">
        <v>88</v>
      </c>
      <c r="P81" s="393"/>
      <c r="Q81" s="393"/>
      <c r="R81" s="393"/>
      <c r="S81" s="393"/>
      <c r="T81" s="393"/>
      <c r="U81" s="393"/>
      <c r="V81" s="231" t="b">
        <v>0</v>
      </c>
      <c r="W81" s="229"/>
      <c r="X81" s="5"/>
    </row>
    <row r="82" spans="1:24" outlineLevel="1" x14ac:dyDescent="0.3">
      <c r="A82" s="5"/>
      <c r="B82" s="225"/>
      <c r="C82" s="78"/>
      <c r="D82" s="78"/>
      <c r="E82" s="78"/>
      <c r="F82" s="78"/>
      <c r="G82" s="78"/>
      <c r="H82" s="78"/>
      <c r="I82" s="78"/>
      <c r="J82" s="78"/>
      <c r="K82" s="78"/>
      <c r="L82" s="78"/>
      <c r="M82" s="135"/>
      <c r="N82" s="92"/>
      <c r="O82" s="135"/>
      <c r="P82" s="135"/>
      <c r="Q82" s="135"/>
      <c r="R82" s="135"/>
      <c r="S82" s="135"/>
      <c r="T82" s="187"/>
      <c r="U82" s="187"/>
      <c r="V82" s="92">
        <f>IF(SUM(C78+C79+C80+C81+N78+N79+N80+N81)=0,0,(SUM(C78+C79+C80+C81+N78+N79+N80+N81)))</f>
        <v>0</v>
      </c>
      <c r="W82" s="229"/>
      <c r="X82" s="5"/>
    </row>
    <row r="83" spans="1:24" ht="4.5" customHeight="1" outlineLevel="1" x14ac:dyDescent="0.3">
      <c r="A83" s="5"/>
      <c r="B83" s="225"/>
      <c r="C83" s="5"/>
      <c r="D83" s="5"/>
      <c r="E83" s="5"/>
      <c r="F83" s="5"/>
      <c r="G83" s="5"/>
      <c r="H83" s="5"/>
      <c r="I83" s="5"/>
      <c r="J83" s="5"/>
      <c r="K83" s="5"/>
      <c r="L83" s="5"/>
      <c r="M83" s="5"/>
      <c r="N83" s="5"/>
      <c r="O83" s="5"/>
      <c r="P83" s="5"/>
      <c r="Q83" s="5"/>
      <c r="R83" s="5"/>
      <c r="S83" s="5"/>
      <c r="T83" s="176"/>
      <c r="U83" s="176"/>
      <c r="V83" s="76"/>
      <c r="W83" s="229"/>
      <c r="X83" s="5"/>
    </row>
    <row r="84" spans="1:24" ht="24" customHeight="1" outlineLevel="1" x14ac:dyDescent="0.3">
      <c r="A84" s="5"/>
      <c r="B84" s="225"/>
      <c r="C84" s="19">
        <v>2</v>
      </c>
      <c r="D84" s="326" t="s">
        <v>38</v>
      </c>
      <c r="E84" s="326"/>
      <c r="F84" s="326"/>
      <c r="G84" s="326"/>
      <c r="H84" s="326"/>
      <c r="I84" s="326"/>
      <c r="J84" s="327"/>
      <c r="K84" s="115"/>
      <c r="L84" s="328" t="s">
        <v>39</v>
      </c>
      <c r="M84" s="329"/>
      <c r="N84" s="329"/>
      <c r="O84" s="329"/>
      <c r="P84" s="329"/>
      <c r="Q84" s="329"/>
      <c r="R84" s="329"/>
      <c r="S84" s="329"/>
      <c r="T84" s="329"/>
      <c r="U84" s="330"/>
      <c r="V84" s="232">
        <f>+VLOOKUP(L84,Data!B51:C56,2,)</f>
        <v>1</v>
      </c>
      <c r="W84" s="229"/>
      <c r="X84" s="5"/>
    </row>
    <row r="85" spans="1:24" ht="24" customHeight="1" outlineLevel="1" x14ac:dyDescent="0.3">
      <c r="A85" s="5"/>
      <c r="B85" s="225"/>
      <c r="C85" s="19">
        <v>3</v>
      </c>
      <c r="D85" s="391" t="s">
        <v>219</v>
      </c>
      <c r="E85" s="391"/>
      <c r="F85" s="391"/>
      <c r="G85" s="391"/>
      <c r="H85" s="391"/>
      <c r="I85" s="391"/>
      <c r="J85" s="392"/>
      <c r="K85" s="116"/>
      <c r="L85" s="328" t="s">
        <v>47</v>
      </c>
      <c r="M85" s="329"/>
      <c r="N85" s="329"/>
      <c r="O85" s="329"/>
      <c r="P85" s="329"/>
      <c r="Q85" s="329"/>
      <c r="R85" s="329"/>
      <c r="S85" s="329"/>
      <c r="T85" s="329"/>
      <c r="U85" s="330"/>
      <c r="V85" s="232">
        <f>+VLOOKUP(L85,Data!B59:C64,2,)</f>
        <v>2</v>
      </c>
      <c r="W85" s="229"/>
      <c r="X85" s="5"/>
    </row>
    <row r="86" spans="1:24" ht="24" customHeight="1" outlineLevel="1" x14ac:dyDescent="0.3">
      <c r="A86" s="5"/>
      <c r="B86" s="225"/>
      <c r="C86" s="19">
        <v>4</v>
      </c>
      <c r="D86" s="326" t="s">
        <v>220</v>
      </c>
      <c r="E86" s="326"/>
      <c r="F86" s="326"/>
      <c r="G86" s="326"/>
      <c r="H86" s="326"/>
      <c r="I86" s="326"/>
      <c r="J86" s="327"/>
      <c r="K86" s="115"/>
      <c r="L86" s="328" t="s">
        <v>51</v>
      </c>
      <c r="M86" s="329"/>
      <c r="N86" s="329"/>
      <c r="O86" s="329"/>
      <c r="P86" s="329"/>
      <c r="Q86" s="329"/>
      <c r="R86" s="329"/>
      <c r="S86" s="329"/>
      <c r="T86" s="329"/>
      <c r="U86" s="330"/>
      <c r="V86" s="232">
        <f>+VLOOKUP(L86,Data!B67:C72,2,)</f>
        <v>2</v>
      </c>
      <c r="W86" s="229"/>
      <c r="X86" s="5"/>
    </row>
    <row r="87" spans="1:24" ht="24" customHeight="1" outlineLevel="1" x14ac:dyDescent="0.3">
      <c r="A87" s="5"/>
      <c r="B87" s="225"/>
      <c r="C87" s="19">
        <v>5</v>
      </c>
      <c r="D87" s="326" t="s">
        <v>56</v>
      </c>
      <c r="E87" s="326"/>
      <c r="F87" s="326"/>
      <c r="G87" s="326"/>
      <c r="H87" s="326"/>
      <c r="I87" s="326"/>
      <c r="J87" s="327"/>
      <c r="K87" s="115"/>
      <c r="L87" s="328" t="s">
        <v>57</v>
      </c>
      <c r="M87" s="329"/>
      <c r="N87" s="329"/>
      <c r="O87" s="329"/>
      <c r="P87" s="329"/>
      <c r="Q87" s="329"/>
      <c r="R87" s="329"/>
      <c r="S87" s="329"/>
      <c r="T87" s="329"/>
      <c r="U87" s="330"/>
      <c r="V87" s="232">
        <f>+VLOOKUP(L87,Data!B75:C80,2,)</f>
        <v>0</v>
      </c>
      <c r="W87" s="229"/>
      <c r="X87" s="5"/>
    </row>
    <row r="88" spans="1:24" ht="24" customHeight="1" outlineLevel="1" x14ac:dyDescent="0.3">
      <c r="A88" s="5"/>
      <c r="B88" s="225"/>
      <c r="C88" s="19">
        <v>6</v>
      </c>
      <c r="D88" s="326" t="s">
        <v>89</v>
      </c>
      <c r="E88" s="326"/>
      <c r="F88" s="326"/>
      <c r="G88" s="326"/>
      <c r="H88" s="326"/>
      <c r="I88" s="326"/>
      <c r="J88" s="327"/>
      <c r="K88" s="115"/>
      <c r="L88" s="328" t="s">
        <v>90</v>
      </c>
      <c r="M88" s="329"/>
      <c r="N88" s="329"/>
      <c r="O88" s="329"/>
      <c r="P88" s="329"/>
      <c r="Q88" s="329"/>
      <c r="R88" s="329"/>
      <c r="S88" s="329"/>
      <c r="T88" s="329"/>
      <c r="U88" s="330"/>
      <c r="V88" s="232">
        <f>+VLOOKUP(L88,Data!B117:C122,2,)</f>
        <v>1</v>
      </c>
      <c r="W88" s="229"/>
      <c r="X88" s="5"/>
    </row>
    <row r="89" spans="1:24" ht="24" customHeight="1" outlineLevel="1" x14ac:dyDescent="0.3">
      <c r="A89" s="5"/>
      <c r="B89" s="225"/>
      <c r="C89" s="19">
        <v>7</v>
      </c>
      <c r="D89" s="326" t="s">
        <v>62</v>
      </c>
      <c r="E89" s="326"/>
      <c r="F89" s="326"/>
      <c r="G89" s="326"/>
      <c r="H89" s="326"/>
      <c r="I89" s="326"/>
      <c r="J89" s="327"/>
      <c r="K89" s="115"/>
      <c r="L89" s="328" t="s">
        <v>63</v>
      </c>
      <c r="M89" s="329"/>
      <c r="N89" s="329"/>
      <c r="O89" s="329"/>
      <c r="P89" s="329"/>
      <c r="Q89" s="329"/>
      <c r="R89" s="329"/>
      <c r="S89" s="329"/>
      <c r="T89" s="329"/>
      <c r="U89" s="330"/>
      <c r="V89" s="232">
        <f>+VLOOKUP(L89,Data!B83:C88,2,)</f>
        <v>0</v>
      </c>
      <c r="W89" s="229"/>
      <c r="X89" s="5"/>
    </row>
    <row r="90" spans="1:24" ht="24" customHeight="1" outlineLevel="1" x14ac:dyDescent="0.3">
      <c r="A90" s="5"/>
      <c r="B90" s="225"/>
      <c r="C90" s="19">
        <v>8</v>
      </c>
      <c r="D90" s="326" t="s">
        <v>68</v>
      </c>
      <c r="E90" s="326"/>
      <c r="F90" s="326"/>
      <c r="G90" s="326"/>
      <c r="H90" s="326"/>
      <c r="I90" s="326"/>
      <c r="J90" s="327"/>
      <c r="K90" s="115"/>
      <c r="L90" s="328" t="s">
        <v>71</v>
      </c>
      <c r="M90" s="329"/>
      <c r="N90" s="329"/>
      <c r="O90" s="329"/>
      <c r="P90" s="329"/>
      <c r="Q90" s="329"/>
      <c r="R90" s="329"/>
      <c r="S90" s="329"/>
      <c r="T90" s="329"/>
      <c r="U90" s="330"/>
      <c r="V90" s="233">
        <f>+VLOOKUP(L90,Data!B91:C96,2,)</f>
        <v>2</v>
      </c>
      <c r="W90" s="234"/>
      <c r="X90" s="5"/>
    </row>
    <row r="91" spans="1:24" ht="24" customHeight="1" outlineLevel="1" x14ac:dyDescent="0.3">
      <c r="A91" s="5"/>
      <c r="B91" s="225"/>
      <c r="C91" s="19">
        <v>9</v>
      </c>
      <c r="D91" s="326" t="s">
        <v>74</v>
      </c>
      <c r="E91" s="326"/>
      <c r="F91" s="326"/>
      <c r="G91" s="326"/>
      <c r="H91" s="326"/>
      <c r="I91" s="326"/>
      <c r="J91" s="327"/>
      <c r="K91" s="115"/>
      <c r="L91" s="328" t="s">
        <v>75</v>
      </c>
      <c r="M91" s="329"/>
      <c r="N91" s="329"/>
      <c r="O91" s="329"/>
      <c r="P91" s="329"/>
      <c r="Q91" s="329"/>
      <c r="R91" s="329"/>
      <c r="S91" s="329"/>
      <c r="T91" s="329"/>
      <c r="U91" s="330"/>
      <c r="V91" s="233">
        <f>+VLOOKUP(L91,Data!B99:C104,2,)</f>
        <v>1</v>
      </c>
      <c r="W91" s="234"/>
      <c r="X91" s="5"/>
    </row>
    <row r="92" spans="1:24" ht="3.75" customHeight="1" x14ac:dyDescent="0.3">
      <c r="A92" s="5"/>
      <c r="B92" s="225"/>
      <c r="C92" s="5"/>
      <c r="D92" s="5"/>
      <c r="E92" s="5"/>
      <c r="F92" s="5"/>
      <c r="G92" s="5"/>
      <c r="H92" s="5"/>
      <c r="I92" s="5"/>
      <c r="J92" s="5"/>
      <c r="K92" s="5"/>
      <c r="L92" s="5"/>
      <c r="M92" s="5"/>
      <c r="N92" s="5"/>
      <c r="O92" s="5"/>
      <c r="P92" s="5"/>
      <c r="Q92" s="5"/>
      <c r="R92" s="5"/>
      <c r="S92" s="5"/>
      <c r="T92" s="176"/>
      <c r="U92" s="176"/>
      <c r="V92" s="76"/>
      <c r="W92" s="229"/>
      <c r="X92" s="5"/>
    </row>
    <row r="93" spans="1:24" x14ac:dyDescent="0.3">
      <c r="A93" s="5"/>
      <c r="B93" s="225"/>
      <c r="C93" s="5">
        <v>10</v>
      </c>
      <c r="D93" s="368" t="s">
        <v>208</v>
      </c>
      <c r="E93" s="368"/>
      <c r="F93" s="368"/>
      <c r="G93" s="368"/>
      <c r="H93" s="368"/>
      <c r="I93" s="272"/>
      <c r="J93" s="5"/>
      <c r="K93" s="5"/>
      <c r="L93" s="5"/>
      <c r="M93" s="5"/>
      <c r="N93" s="5"/>
      <c r="O93" s="5"/>
      <c r="P93" s="5"/>
      <c r="Q93" s="5"/>
      <c r="R93" s="5"/>
      <c r="S93" s="5"/>
      <c r="T93" s="176"/>
      <c r="U93" s="176"/>
      <c r="V93" s="76"/>
      <c r="W93" s="229"/>
      <c r="X93" s="5"/>
    </row>
    <row r="94" spans="1:24" ht="33" customHeight="1" x14ac:dyDescent="0.3">
      <c r="A94" s="5"/>
      <c r="B94" s="225"/>
      <c r="C94" s="5"/>
      <c r="D94" s="387"/>
      <c r="E94" s="388"/>
      <c r="F94" s="388"/>
      <c r="G94" s="388"/>
      <c r="H94" s="388"/>
      <c r="I94" s="388"/>
      <c r="J94" s="388"/>
      <c r="K94" s="388"/>
      <c r="L94" s="388"/>
      <c r="M94" s="388"/>
      <c r="N94" s="388"/>
      <c r="O94" s="388"/>
      <c r="P94" s="388"/>
      <c r="Q94" s="388"/>
      <c r="R94" s="388"/>
      <c r="S94" s="388"/>
      <c r="T94" s="388"/>
      <c r="U94" s="389"/>
      <c r="V94" s="76"/>
      <c r="W94" s="229"/>
      <c r="X94" s="5"/>
    </row>
    <row r="95" spans="1:24" ht="3.75" customHeight="1" thickBot="1" x14ac:dyDescent="0.35">
      <c r="A95" s="5"/>
      <c r="B95" s="225"/>
      <c r="C95" s="5"/>
      <c r="D95" s="78"/>
      <c r="E95" s="78"/>
      <c r="F95" s="78"/>
      <c r="G95" s="78"/>
      <c r="H95" s="78"/>
      <c r="I95" s="78"/>
      <c r="J95" s="78"/>
      <c r="K95" s="78"/>
      <c r="L95" s="78"/>
      <c r="M95" s="78"/>
      <c r="N95" s="78"/>
      <c r="O95" s="78"/>
      <c r="P95" s="78"/>
      <c r="Q95" s="78"/>
      <c r="R95" s="78"/>
      <c r="S95" s="78"/>
      <c r="T95" s="78"/>
      <c r="U95" s="78"/>
      <c r="V95" s="92"/>
      <c r="W95" s="229"/>
      <c r="X95" s="5"/>
    </row>
    <row r="96" spans="1:24" ht="15" thickBot="1" x14ac:dyDescent="0.35">
      <c r="A96" s="5"/>
      <c r="B96" s="225"/>
      <c r="C96" s="5"/>
      <c r="D96" s="5"/>
      <c r="E96" s="5"/>
      <c r="F96" s="5"/>
      <c r="G96" s="5"/>
      <c r="H96" s="351" t="s">
        <v>221</v>
      </c>
      <c r="I96" s="351"/>
      <c r="J96" s="351"/>
      <c r="K96" s="270"/>
      <c r="L96" s="382"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83"/>
      <c r="N96" s="383"/>
      <c r="O96" s="383"/>
      <c r="P96" s="383"/>
      <c r="Q96" s="383"/>
      <c r="R96" s="383"/>
      <c r="S96" s="384"/>
      <c r="T96" s="202"/>
      <c r="U96" s="203"/>
      <c r="V96" s="235">
        <f>+SUM($V$82+$V$84+$V$85+$V$86+$V$87+$V$88+$V$89+$V$90+$V$91)</f>
        <v>9</v>
      </c>
      <c r="W96" s="229"/>
      <c r="X96" s="5"/>
    </row>
    <row r="97" spans="1:24" ht="4.5" customHeight="1" x14ac:dyDescent="0.3">
      <c r="A97" s="5"/>
      <c r="B97" s="225"/>
      <c r="C97" s="5"/>
      <c r="D97" s="5"/>
      <c r="E97" s="5"/>
      <c r="F97" s="5"/>
      <c r="G97" s="5"/>
      <c r="H97" s="5"/>
      <c r="I97" s="5"/>
      <c r="J97" s="5"/>
      <c r="K97" s="5"/>
      <c r="L97" s="5"/>
      <c r="M97" s="5"/>
      <c r="N97" s="5"/>
      <c r="O97" s="5"/>
      <c r="P97" s="5"/>
      <c r="Q97" s="5"/>
      <c r="R97" s="5"/>
      <c r="S97" s="5"/>
      <c r="T97" s="176"/>
      <c r="U97" s="176"/>
      <c r="V97" s="76"/>
      <c r="W97" s="229"/>
      <c r="X97" s="5"/>
    </row>
    <row r="98" spans="1:24" hidden="1" x14ac:dyDescent="0.3">
      <c r="A98" s="5"/>
      <c r="B98" s="225"/>
      <c r="C98" s="5"/>
      <c r="D98" s="5"/>
      <c r="E98" s="5"/>
      <c r="F98" s="5"/>
      <c r="G98" s="5"/>
      <c r="H98" s="5"/>
      <c r="I98" s="5"/>
      <c r="J98" s="5"/>
      <c r="K98" s="5"/>
      <c r="L98" s="5"/>
      <c r="M98" s="5"/>
      <c r="N98" s="5">
        <f>+INT(AVERAGE(V73,V96))</f>
        <v>10</v>
      </c>
      <c r="O98" s="5"/>
      <c r="P98" s="5"/>
      <c r="Q98" s="5"/>
      <c r="R98" s="5"/>
      <c r="S98" s="5"/>
      <c r="T98" s="176"/>
      <c r="U98" s="176"/>
      <c r="V98" s="176"/>
      <c r="W98" s="179"/>
      <c r="X98" s="5"/>
    </row>
    <row r="99" spans="1:24" ht="7.5" customHeight="1" x14ac:dyDescent="0.3">
      <c r="A99" s="5"/>
      <c r="B99" s="225"/>
      <c r="C99" s="84"/>
      <c r="D99" s="85"/>
      <c r="E99" s="85"/>
      <c r="F99" s="85"/>
      <c r="G99" s="85"/>
      <c r="H99" s="85"/>
      <c r="I99" s="85"/>
      <c r="J99" s="85"/>
      <c r="K99" s="85"/>
      <c r="L99" s="85"/>
      <c r="M99" s="85"/>
      <c r="N99" s="85"/>
      <c r="O99" s="85"/>
      <c r="P99" s="85"/>
      <c r="Q99" s="85"/>
      <c r="R99" s="85"/>
      <c r="S99" s="85"/>
      <c r="T99" s="205"/>
      <c r="U99" s="205"/>
      <c r="V99" s="206"/>
      <c r="W99" s="179"/>
      <c r="X99" s="5"/>
    </row>
    <row r="100" spans="1:24" ht="22.5" customHeight="1" x14ac:dyDescent="0.3">
      <c r="A100" s="5"/>
      <c r="B100" s="225"/>
      <c r="C100" s="385" t="s">
        <v>222</v>
      </c>
      <c r="D100" s="386"/>
      <c r="E100" s="386"/>
      <c r="F100" s="271" t="s">
        <v>223</v>
      </c>
      <c r="G100" s="271"/>
      <c r="H100" s="271" t="s">
        <v>118</v>
      </c>
      <c r="I100" s="271"/>
      <c r="J100" s="271" t="s">
        <v>120</v>
      </c>
      <c r="K100" s="271"/>
      <c r="L100" s="381" t="s">
        <v>122</v>
      </c>
      <c r="M100" s="381"/>
      <c r="N100" s="381"/>
      <c r="O100" s="271"/>
      <c r="P100" s="381" t="s">
        <v>125</v>
      </c>
      <c r="Q100" s="381"/>
      <c r="R100" s="381"/>
      <c r="S100" s="115"/>
      <c r="T100" s="176"/>
      <c r="U100" s="176"/>
      <c r="V100" s="207"/>
      <c r="W100" s="179"/>
      <c r="X100" s="5"/>
    </row>
    <row r="101" spans="1:24" ht="2.25" customHeight="1" x14ac:dyDescent="0.3">
      <c r="A101" s="5"/>
      <c r="B101" s="225"/>
      <c r="C101" s="385"/>
      <c r="D101" s="386"/>
      <c r="E101" s="386"/>
      <c r="F101" s="5"/>
      <c r="G101" s="5"/>
      <c r="H101" s="5"/>
      <c r="I101" s="5"/>
      <c r="J101" s="5"/>
      <c r="K101" s="5"/>
      <c r="L101" s="5"/>
      <c r="M101" s="5"/>
      <c r="N101" s="5"/>
      <c r="O101" s="5"/>
      <c r="P101" s="5"/>
      <c r="Q101" s="5"/>
      <c r="R101" s="5"/>
      <c r="S101" s="5"/>
      <c r="T101" s="176"/>
      <c r="U101" s="176"/>
      <c r="V101" s="207"/>
      <c r="W101" s="179"/>
      <c r="X101" s="5"/>
    </row>
    <row r="102" spans="1:24" x14ac:dyDescent="0.3">
      <c r="A102" s="5"/>
      <c r="B102" s="225"/>
      <c r="C102" s="385"/>
      <c r="D102" s="386"/>
      <c r="E102" s="386"/>
      <c r="F102" s="108" t="str">
        <f>IF(ISERROR(IF(AND(N98&gt;0,N98&lt;9),"X","")),"",IF(AND(N98&gt;0,N98&lt;9),"X",""))</f>
        <v/>
      </c>
      <c r="G102" s="18"/>
      <c r="H102" s="108" t="str">
        <f>IF(ISERROR(IF(AND(N98&gt;8,N98&lt;13),"X","")),"",IF(AND(N98&gt;8,N98&lt;13),"X",""))</f>
        <v>X</v>
      </c>
      <c r="I102" s="18"/>
      <c r="J102" s="108" t="str">
        <f>IF(ISERROR(IF(AND(N98&gt;12,N98&lt;17),"X","")),"",IF(AND(N98&gt;12,N98&lt;17),"X",""))</f>
        <v/>
      </c>
      <c r="K102" s="117"/>
      <c r="L102" s="378" t="str">
        <f>IF(ISERROR(IF(AND(N98&gt;16,N98&lt;20),"X","")),"",IF(AND(N98&gt;16,N98&lt;20),"X",""))</f>
        <v/>
      </c>
      <c r="M102" s="379"/>
      <c r="N102" s="380"/>
      <c r="O102" s="18"/>
      <c r="P102" s="378" t="str">
        <f>IF(ISERROR(IF(N98&gt;19,"X","")),"",IF(N98&gt;19,"X",""))</f>
        <v/>
      </c>
      <c r="Q102" s="379"/>
      <c r="R102" s="380"/>
      <c r="S102" s="124"/>
      <c r="T102" s="176"/>
      <c r="U102" s="176"/>
      <c r="V102" s="207"/>
      <c r="W102" s="179"/>
      <c r="X102" s="5"/>
    </row>
    <row r="103" spans="1:24" ht="4.5" customHeight="1" x14ac:dyDescent="0.3">
      <c r="A103" s="5"/>
      <c r="B103" s="225"/>
      <c r="C103" s="86"/>
      <c r="D103" s="87"/>
      <c r="E103" s="87"/>
      <c r="F103" s="87"/>
      <c r="G103" s="87"/>
      <c r="H103" s="87"/>
      <c r="I103" s="87"/>
      <c r="J103" s="87"/>
      <c r="K103" s="87"/>
      <c r="L103" s="87"/>
      <c r="M103" s="87"/>
      <c r="N103" s="87"/>
      <c r="O103" s="87"/>
      <c r="P103" s="87"/>
      <c r="Q103" s="87"/>
      <c r="R103" s="87"/>
      <c r="S103" s="87"/>
      <c r="T103" s="208"/>
      <c r="U103" s="208"/>
      <c r="V103" s="209"/>
      <c r="W103" s="179"/>
      <c r="X103" s="5"/>
    </row>
    <row r="104" spans="1:24" ht="4.5" customHeight="1" x14ac:dyDescent="0.3">
      <c r="A104" s="5"/>
      <c r="B104" s="225"/>
      <c r="C104" s="5"/>
      <c r="D104" s="5"/>
      <c r="E104" s="5"/>
      <c r="F104" s="5"/>
      <c r="G104" s="5"/>
      <c r="H104" s="5"/>
      <c r="I104" s="5"/>
      <c r="J104" s="5"/>
      <c r="K104" s="5"/>
      <c r="L104" s="5"/>
      <c r="M104" s="5"/>
      <c r="N104" s="5"/>
      <c r="O104" s="5"/>
      <c r="P104" s="5"/>
      <c r="Q104" s="5"/>
      <c r="R104" s="5"/>
      <c r="S104" s="5"/>
      <c r="T104" s="176"/>
      <c r="U104" s="176"/>
      <c r="V104" s="176"/>
      <c r="W104" s="179"/>
      <c r="X104" s="5"/>
    </row>
    <row r="105" spans="1:24" ht="12" customHeight="1" thickBot="1" x14ac:dyDescent="0.35">
      <c r="A105" s="5"/>
      <c r="B105" s="225"/>
      <c r="C105" s="5"/>
      <c r="D105" s="107"/>
      <c r="E105" s="107"/>
      <c r="F105" s="107" t="str">
        <f>IF(OR(J102&lt;&gt;"",L102&lt;&gt;"",P102&lt;&gt;""),"Involucre al design Authority","")</f>
        <v/>
      </c>
      <c r="G105" s="107"/>
      <c r="H105" s="107"/>
      <c r="I105" s="264"/>
      <c r="J105" s="264"/>
      <c r="K105" s="264"/>
      <c r="L105" s="264"/>
      <c r="M105" s="264"/>
      <c r="N105" s="265"/>
      <c r="O105" s="265"/>
      <c r="P105" s="78"/>
      <c r="Q105" s="266"/>
      <c r="R105" s="266"/>
      <c r="S105" s="267"/>
      <c r="T105" s="210"/>
      <c r="U105" s="187"/>
      <c r="V105" s="187"/>
      <c r="W105" s="179"/>
      <c r="X105" s="5"/>
    </row>
    <row r="106" spans="1:24" ht="12" customHeight="1" thickTop="1" x14ac:dyDescent="0.3">
      <c r="A106" s="5"/>
      <c r="B106" s="225"/>
      <c r="C106" s="5"/>
      <c r="D106" s="410" t="s">
        <v>224</v>
      </c>
      <c r="E106" s="411"/>
      <c r="F106" s="404"/>
      <c r="G106" s="405"/>
      <c r="H106" s="405"/>
      <c r="I106" s="405"/>
      <c r="J106" s="405"/>
      <c r="K106" s="406"/>
      <c r="L106" s="412" t="s">
        <v>225</v>
      </c>
      <c r="M106" s="410"/>
      <c r="N106" s="411"/>
      <c r="O106" s="404" t="s">
        <v>102</v>
      </c>
      <c r="P106" s="405"/>
      <c r="Q106" s="405"/>
      <c r="R106" s="405"/>
      <c r="S106" s="406"/>
      <c r="T106" s="187"/>
      <c r="U106" s="187"/>
      <c r="V106" s="187"/>
      <c r="W106" s="179"/>
      <c r="X106" s="5"/>
    </row>
    <row r="107" spans="1:24" ht="12" customHeight="1" thickBot="1" x14ac:dyDescent="0.35">
      <c r="A107" s="5"/>
      <c r="B107" s="225"/>
      <c r="C107" s="5"/>
      <c r="D107" s="410"/>
      <c r="E107" s="411"/>
      <c r="F107" s="407"/>
      <c r="G107" s="408"/>
      <c r="H107" s="408"/>
      <c r="I107" s="408"/>
      <c r="J107" s="408"/>
      <c r="K107" s="409"/>
      <c r="L107" s="412"/>
      <c r="M107" s="410"/>
      <c r="N107" s="411"/>
      <c r="O107" s="407"/>
      <c r="P107" s="408"/>
      <c r="Q107" s="408"/>
      <c r="R107" s="408"/>
      <c r="S107" s="409"/>
      <c r="T107" s="187"/>
      <c r="U107" s="187"/>
      <c r="V107" s="187"/>
      <c r="W107" s="179"/>
      <c r="X107" s="5"/>
    </row>
    <row r="108" spans="1:24" ht="12" customHeight="1" thickTop="1" x14ac:dyDescent="0.3">
      <c r="A108" s="5"/>
      <c r="B108" s="225"/>
      <c r="C108" s="5"/>
      <c r="D108" s="107"/>
      <c r="E108" s="107"/>
      <c r="F108" s="91"/>
      <c r="G108" s="91"/>
      <c r="H108" s="91"/>
      <c r="I108" s="264"/>
      <c r="J108" s="264"/>
      <c r="K108" s="264"/>
      <c r="L108" s="264"/>
      <c r="M108" s="264"/>
      <c r="N108" s="268"/>
      <c r="O108" s="78"/>
      <c r="P108" s="78"/>
      <c r="Q108" s="78"/>
      <c r="R108" s="78"/>
      <c r="S108" s="78"/>
      <c r="T108" s="211"/>
      <c r="U108" s="187"/>
      <c r="V108" s="187"/>
      <c r="W108" s="179"/>
      <c r="X108" s="5"/>
    </row>
    <row r="109" spans="1:24" ht="5.25" customHeight="1" x14ac:dyDescent="0.3">
      <c r="A109" s="5"/>
      <c r="B109" s="225"/>
      <c r="C109" s="5"/>
      <c r="D109" s="5"/>
      <c r="E109" s="5"/>
      <c r="F109" s="5"/>
      <c r="G109" s="5"/>
      <c r="H109" s="5"/>
      <c r="I109" s="5"/>
      <c r="J109" s="5"/>
      <c r="K109" s="5"/>
      <c r="L109" s="5"/>
      <c r="M109" s="5"/>
      <c r="N109" s="5"/>
      <c r="O109" s="5"/>
      <c r="P109" s="5"/>
      <c r="Q109" s="5"/>
      <c r="R109" s="5"/>
      <c r="S109" s="5"/>
      <c r="T109" s="176"/>
      <c r="U109" s="176"/>
      <c r="V109" s="176"/>
      <c r="W109" s="179"/>
      <c r="X109" s="5"/>
    </row>
    <row r="110" spans="1:24" x14ac:dyDescent="0.3">
      <c r="A110" s="5"/>
      <c r="B110" s="225"/>
      <c r="C110" s="5"/>
      <c r="D110" s="369" t="s">
        <v>226</v>
      </c>
      <c r="E110" s="370"/>
      <c r="F110" s="370"/>
      <c r="G110" s="370"/>
      <c r="H110" s="370"/>
      <c r="I110" s="370"/>
      <c r="J110" s="370"/>
      <c r="K110" s="370"/>
      <c r="L110" s="370"/>
      <c r="M110" s="370"/>
      <c r="N110" s="370"/>
      <c r="O110" s="370"/>
      <c r="P110" s="370"/>
      <c r="Q110" s="370"/>
      <c r="R110" s="370"/>
      <c r="S110" s="370"/>
      <c r="T110" s="370"/>
      <c r="U110" s="370"/>
      <c r="V110" s="371"/>
      <c r="W110" s="179"/>
      <c r="X110" s="5"/>
    </row>
    <row r="111" spans="1:24" x14ac:dyDescent="0.3">
      <c r="A111" s="5"/>
      <c r="B111" s="225"/>
      <c r="C111" s="5"/>
      <c r="D111" s="372"/>
      <c r="E111" s="373"/>
      <c r="F111" s="373"/>
      <c r="G111" s="373"/>
      <c r="H111" s="373"/>
      <c r="I111" s="373"/>
      <c r="J111" s="373"/>
      <c r="K111" s="373"/>
      <c r="L111" s="373"/>
      <c r="M111" s="373"/>
      <c r="N111" s="373"/>
      <c r="O111" s="373"/>
      <c r="P111" s="373"/>
      <c r="Q111" s="373"/>
      <c r="R111" s="373"/>
      <c r="S111" s="373"/>
      <c r="T111" s="373"/>
      <c r="U111" s="373"/>
      <c r="V111" s="374"/>
      <c r="W111" s="179"/>
      <c r="X111"/>
    </row>
    <row r="112" spans="1:24" x14ac:dyDescent="0.3">
      <c r="A112" s="5"/>
      <c r="B112" s="225"/>
      <c r="C112" s="5"/>
      <c r="D112" s="372"/>
      <c r="E112" s="373"/>
      <c r="F112" s="373"/>
      <c r="G112" s="373"/>
      <c r="H112" s="373"/>
      <c r="I112" s="373"/>
      <c r="J112" s="373"/>
      <c r="K112" s="373"/>
      <c r="L112" s="373"/>
      <c r="M112" s="373"/>
      <c r="N112" s="373"/>
      <c r="O112" s="373"/>
      <c r="P112" s="373"/>
      <c r="Q112" s="373"/>
      <c r="R112" s="373"/>
      <c r="S112" s="373"/>
      <c r="T112" s="373"/>
      <c r="U112" s="373"/>
      <c r="V112" s="374"/>
      <c r="W112" s="179"/>
      <c r="X112" s="5"/>
    </row>
    <row r="113" spans="1:24" x14ac:dyDescent="0.3">
      <c r="A113" s="5"/>
      <c r="B113" s="225"/>
      <c r="C113" s="5"/>
      <c r="D113" s="372"/>
      <c r="E113" s="373"/>
      <c r="F113" s="373"/>
      <c r="G113" s="373"/>
      <c r="H113" s="373"/>
      <c r="I113" s="373"/>
      <c r="J113" s="373"/>
      <c r="K113" s="373"/>
      <c r="L113" s="373"/>
      <c r="M113" s="373"/>
      <c r="N113" s="373"/>
      <c r="O113" s="373"/>
      <c r="P113" s="373"/>
      <c r="Q113" s="373"/>
      <c r="R113" s="373"/>
      <c r="S113" s="373"/>
      <c r="T113" s="373"/>
      <c r="U113" s="373"/>
      <c r="V113" s="374"/>
      <c r="W113" s="179"/>
      <c r="X113" s="5"/>
    </row>
    <row r="114" spans="1:24" x14ac:dyDescent="0.3">
      <c r="A114" s="5"/>
      <c r="B114" s="225"/>
      <c r="C114" s="5"/>
      <c r="D114" s="375"/>
      <c r="E114" s="376"/>
      <c r="F114" s="376"/>
      <c r="G114" s="376"/>
      <c r="H114" s="376"/>
      <c r="I114" s="376"/>
      <c r="J114" s="376"/>
      <c r="K114" s="376"/>
      <c r="L114" s="376"/>
      <c r="M114" s="376"/>
      <c r="N114" s="376"/>
      <c r="O114" s="376"/>
      <c r="P114" s="376"/>
      <c r="Q114" s="376"/>
      <c r="R114" s="376"/>
      <c r="S114" s="376"/>
      <c r="T114" s="376"/>
      <c r="U114" s="376"/>
      <c r="V114" s="377"/>
      <c r="W114" s="179"/>
      <c r="X114" s="5"/>
    </row>
    <row r="115" spans="1:24" ht="5.25" customHeight="1" thickBot="1" x14ac:dyDescent="0.35">
      <c r="A115" s="5"/>
      <c r="B115" s="228"/>
      <c r="C115" s="41"/>
      <c r="D115" s="41"/>
      <c r="E115" s="41"/>
      <c r="F115" s="41"/>
      <c r="G115" s="41"/>
      <c r="H115" s="41"/>
      <c r="I115" s="41"/>
      <c r="J115" s="41"/>
      <c r="K115" s="41"/>
      <c r="L115" s="41"/>
      <c r="M115" s="41"/>
      <c r="N115" s="41"/>
      <c r="O115" s="41"/>
      <c r="P115" s="41"/>
      <c r="Q115" s="41"/>
      <c r="R115" s="41"/>
      <c r="S115" s="41"/>
      <c r="T115" s="212"/>
      <c r="U115" s="212"/>
      <c r="V115" s="212"/>
      <c r="W115" s="213"/>
      <c r="X115" s="5"/>
    </row>
    <row r="116" spans="1:24" ht="3.75" customHeight="1" thickTop="1" x14ac:dyDescent="0.3">
      <c r="A116" s="5"/>
      <c r="B116" s="76"/>
      <c r="C116" s="5"/>
      <c r="D116" s="5"/>
      <c r="E116" s="5"/>
      <c r="F116" s="5"/>
      <c r="G116" s="5"/>
      <c r="H116" s="5"/>
      <c r="I116" s="5"/>
      <c r="J116" s="5"/>
      <c r="K116" s="5"/>
      <c r="L116" s="5"/>
      <c r="M116" s="5"/>
      <c r="N116" s="5"/>
      <c r="O116" s="5"/>
      <c r="P116" s="5"/>
      <c r="Q116" s="5"/>
      <c r="R116" s="5"/>
      <c r="S116" s="5"/>
      <c r="T116" s="176"/>
      <c r="U116" s="176"/>
      <c r="V116" s="176"/>
      <c r="W116" s="176"/>
      <c r="X116" s="5"/>
    </row>
  </sheetData>
  <sheetProtection password="96E1" sheet="1" selectLockedCells="1"/>
  <mergeCells count="113">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97"/>
  <sheetViews>
    <sheetView zoomScaleNormal="100" workbookViewId="0">
      <selection activeCell="P23" sqref="P23"/>
    </sheetView>
  </sheetViews>
  <sheetFormatPr baseColWidth="10" defaultColWidth="11.44140625" defaultRowHeight="13.8" outlineLevelRow="2" x14ac:dyDescent="0.3"/>
  <cols>
    <col min="1" max="2" width="1.109375" style="20" customWidth="1"/>
    <col min="3" max="3" width="4.44140625" style="20" customWidth="1"/>
    <col min="4" max="4" width="6.109375" style="20" hidden="1" customWidth="1"/>
    <col min="5" max="8" width="7.109375" style="20" hidden="1" customWidth="1"/>
    <col min="9" max="14" width="6.109375" style="20" hidden="1" customWidth="1"/>
    <col min="15" max="15" width="8" style="20" hidden="1" customWidth="1"/>
    <col min="16" max="16" width="58.88671875" style="20" customWidth="1"/>
    <col min="17" max="17" width="20.88671875" style="20" customWidth="1"/>
    <col min="18" max="18" width="16.88671875" style="20" customWidth="1"/>
    <col min="19" max="19" width="12.109375" style="20" customWidth="1"/>
    <col min="20" max="20" width="11.88671875" style="20" customWidth="1"/>
    <col min="21" max="21" width="12.88671875" style="20" customWidth="1"/>
    <col min="22" max="23" width="15.44140625" style="20" customWidth="1"/>
    <col min="24" max="24" width="46.44140625" style="20" customWidth="1"/>
    <col min="25" max="25" width="35" style="20" bestFit="1" customWidth="1"/>
    <col min="26" max="26" width="0.88671875" style="20" customWidth="1"/>
    <col min="27" max="16384" width="11.44140625" style="20"/>
  </cols>
  <sheetData>
    <row r="1" spans="2:26" ht="14.4" thickBot="1" x14ac:dyDescent="0.35"/>
    <row r="2" spans="2:26" ht="14.4" thickTop="1" x14ac:dyDescent="0.3">
      <c r="B2" s="24"/>
      <c r="C2" s="25"/>
      <c r="D2" s="25"/>
      <c r="E2" s="25"/>
      <c r="F2" s="25"/>
      <c r="G2" s="25"/>
      <c r="H2" s="25"/>
      <c r="I2" s="25"/>
      <c r="J2" s="25"/>
      <c r="K2" s="25"/>
      <c r="L2" s="25"/>
      <c r="M2" s="25"/>
      <c r="N2" s="25"/>
      <c r="O2" s="25"/>
      <c r="P2" s="25"/>
      <c r="Q2" s="25"/>
      <c r="R2" s="25"/>
      <c r="S2" s="25"/>
      <c r="T2" s="25"/>
      <c r="U2" s="25"/>
      <c r="V2" s="25"/>
      <c r="W2" s="25"/>
      <c r="X2" s="25"/>
      <c r="Y2" s="25"/>
      <c r="Z2" s="26"/>
    </row>
    <row r="3" spans="2:26" x14ac:dyDescent="0.3">
      <c r="B3" s="27"/>
      <c r="P3" s="28"/>
      <c r="Q3" s="28"/>
      <c r="R3" s="28"/>
      <c r="S3" s="28"/>
      <c r="T3" s="28"/>
      <c r="U3" s="28"/>
      <c r="V3" s="28"/>
      <c r="W3" s="28"/>
      <c r="X3" s="28"/>
      <c r="Y3" s="28"/>
      <c r="Z3" s="29"/>
    </row>
    <row r="4" spans="2:26" ht="25.2" x14ac:dyDescent="0.45">
      <c r="B4" s="27"/>
      <c r="P4" s="28"/>
      <c r="Q4" s="52" t="s">
        <v>227</v>
      </c>
      <c r="R4" s="52"/>
      <c r="S4" s="52"/>
      <c r="T4" s="52"/>
      <c r="U4" s="52"/>
      <c r="V4" s="52"/>
      <c r="W4" s="52"/>
      <c r="X4" s="52"/>
      <c r="Y4" s="52"/>
      <c r="Z4" s="29"/>
    </row>
    <row r="5" spans="2:26" x14ac:dyDescent="0.3">
      <c r="B5" s="27"/>
      <c r="P5" s="28"/>
      <c r="Q5" s="28"/>
      <c r="R5" s="28"/>
      <c r="S5" s="28"/>
      <c r="T5" s="28"/>
      <c r="U5" s="28"/>
      <c r="V5" s="28"/>
      <c r="W5" s="28"/>
      <c r="X5" s="28"/>
      <c r="Y5" s="28"/>
      <c r="Z5" s="29"/>
    </row>
    <row r="6" spans="2:26" x14ac:dyDescent="0.3">
      <c r="B6" s="27"/>
      <c r="Z6" s="29"/>
    </row>
    <row r="7" spans="2:26" ht="18" x14ac:dyDescent="0.35">
      <c r="B7" s="27"/>
      <c r="C7" s="427" t="s">
        <v>228</v>
      </c>
      <c r="D7" s="427"/>
      <c r="E7" s="427"/>
      <c r="F7" s="427"/>
      <c r="G7" s="427"/>
      <c r="H7" s="427"/>
      <c r="I7" s="427"/>
      <c r="J7" s="427"/>
      <c r="K7" s="427"/>
      <c r="L7" s="427"/>
      <c r="M7" s="427"/>
      <c r="N7" s="427"/>
      <c r="O7" s="427"/>
      <c r="P7" s="427"/>
      <c r="Q7" s="427"/>
      <c r="R7" s="427"/>
      <c r="S7" s="427"/>
      <c r="T7" s="427"/>
      <c r="U7" s="427"/>
      <c r="V7" s="427"/>
      <c r="W7" s="427"/>
      <c r="X7" s="427"/>
      <c r="Y7" s="427"/>
      <c r="Z7" s="29"/>
    </row>
    <row r="8" spans="2:26" ht="18" x14ac:dyDescent="0.35">
      <c r="B8" s="27"/>
      <c r="C8" s="145"/>
      <c r="D8" s="145"/>
      <c r="E8" s="145"/>
      <c r="F8" s="145"/>
      <c r="G8" s="145"/>
      <c r="H8" s="145"/>
      <c r="I8" s="145"/>
      <c r="J8" s="145"/>
      <c r="K8" s="145"/>
      <c r="L8" s="145"/>
      <c r="M8" s="145"/>
      <c r="N8" s="145"/>
      <c r="O8" s="145"/>
      <c r="P8" s="145"/>
      <c r="Q8" s="145"/>
      <c r="R8" s="145"/>
      <c r="S8" s="145"/>
      <c r="T8" s="145"/>
      <c r="U8" s="145"/>
      <c r="V8" s="145"/>
      <c r="W8" s="145"/>
      <c r="X8" s="145"/>
      <c r="Y8" s="145"/>
      <c r="Z8" s="29"/>
    </row>
    <row r="9" spans="2:26" ht="18" x14ac:dyDescent="0.35">
      <c r="B9" s="27"/>
      <c r="C9" s="427" t="s">
        <v>229</v>
      </c>
      <c r="D9" s="427"/>
      <c r="E9" s="427"/>
      <c r="F9" s="427"/>
      <c r="G9" s="427"/>
      <c r="H9" s="427"/>
      <c r="I9" s="427"/>
      <c r="J9" s="427"/>
      <c r="K9" s="427"/>
      <c r="L9" s="427"/>
      <c r="M9" s="427"/>
      <c r="N9" s="427"/>
      <c r="O9" s="427"/>
      <c r="P9" s="427"/>
      <c r="Q9" s="427"/>
      <c r="R9" s="427"/>
      <c r="S9" s="427"/>
      <c r="T9" s="427"/>
      <c r="U9" s="427"/>
      <c r="V9" s="427"/>
      <c r="W9" s="427"/>
      <c r="X9" s="427"/>
      <c r="Y9" s="427"/>
      <c r="Z9" s="29"/>
    </row>
    <row r="10" spans="2:26" s="23" customFormat="1" ht="25.2" outlineLevel="1" x14ac:dyDescent="0.35">
      <c r="B10" s="45"/>
      <c r="C10" s="167"/>
      <c r="D10" s="167"/>
      <c r="E10" s="167"/>
      <c r="F10" s="167"/>
      <c r="G10" s="167"/>
      <c r="H10" s="167"/>
      <c r="I10" s="167"/>
      <c r="J10" s="167"/>
      <c r="K10" s="167"/>
      <c r="L10" s="167"/>
      <c r="M10" s="167"/>
      <c r="N10" s="167"/>
      <c r="O10" s="167"/>
      <c r="P10" s="50" t="s">
        <v>230</v>
      </c>
      <c r="Q10" s="146" t="str">
        <f>'Matriz de Evaluación'!F8</f>
        <v>Actualización archivo HTACCESS - SITEMAP ambiente 9.0</v>
      </c>
      <c r="R10" s="147"/>
      <c r="S10" s="148"/>
      <c r="T10" s="148"/>
      <c r="U10" s="148"/>
      <c r="V10" s="149"/>
      <c r="W10" s="149"/>
      <c r="X10" s="148"/>
      <c r="Y10" s="149"/>
      <c r="Z10" s="46"/>
    </row>
    <row r="11" spans="2:26" outlineLevel="1" x14ac:dyDescent="0.3">
      <c r="B11" s="27"/>
      <c r="P11" s="50" t="s">
        <v>231</v>
      </c>
      <c r="Q11" s="432" t="str">
        <f>+'Matriz de Evaluación'!F6</f>
        <v>Bancolombia</v>
      </c>
      <c r="R11" s="432"/>
      <c r="S11" s="432"/>
      <c r="T11" s="432"/>
      <c r="U11" s="432"/>
      <c r="V11" s="432"/>
      <c r="W11" s="432"/>
      <c r="X11" s="432"/>
      <c r="Y11" s="432"/>
      <c r="Z11" s="29"/>
    </row>
    <row r="12" spans="2:26" outlineLevel="1" x14ac:dyDescent="0.3">
      <c r="B12" s="27"/>
      <c r="P12" s="50" t="s">
        <v>232</v>
      </c>
      <c r="Q12" s="433" t="str">
        <f>+'Matriz de Evaluación'!F10</f>
        <v>Cordial saludo!
Se solicta desde el área de Negocio -&gt; SEO - Mercadeo Digital actualizar redirecciones tu360Negocios - destino de URL's en el Portal de Contenidos, con el fin de optimizar estrategias de posicionamiento SEO en motores de búsqueda como Google; dicha actividad se hace sobre los archivos de configuración HTACCESS y SITEMAP dentro de los IHS's de los Ambientes de produccion nuevo (9) de IBM Portal .
# -------------------------------#
| Máquinas Produccion Bancolombia|
# -------------------------------#
# -----------------------------#
| Máquinas Produccion version 9|
# -----------------------------#
-Bancolombia
DAL13:
Xrbcpihs05d.bancolombia.com 10.73.73.211
Xrbcpihs06d.bancolombia.com 10.73.73.212
Xrbcpihs07d.bancolombia.com 10.73.73.213
Xrbcpihs08d.bancolombia.com 10.73.73.214
WDC04:
Xrbcpihs05w.bancolombia.com 10.170.194.139
Xrbcpihs06w.bancolombia.com 10.170.194.140
Xrbcpihs07w.bancolombia.com 10.170.194.142
Xrbcpihs08w.bancolombia.com 10.170.194.141
- En éste Ambiente de Producción se debe actualizar los siguientes archivos:
Bancolombia
**Bancolombia.htaccess ( ht9PRODBancolombia.htaccess )
**Banco sitemap.xml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Produccion nuevo (Version 9).
- Actualización Sitemap
• Beneficio: Validar en Ambientes de Producción que la actualización de los archivos HTACCESS cumplan con la reglas de redirección de forma correcta y adicional actualizar el sitemap del sitio.
• Impacto: Bajo, no se genera indisponibilidad del aplicativo en Producción. Se aplica el reinicio por instancia de IHS.</v>
      </c>
      <c r="R12" s="433"/>
      <c r="S12" s="433"/>
      <c r="T12" s="433"/>
      <c r="U12" s="433"/>
      <c r="V12" s="433"/>
      <c r="W12" s="433"/>
      <c r="X12" s="433"/>
      <c r="Y12" s="433"/>
      <c r="Z12" s="29"/>
    </row>
    <row r="13" spans="2:26" outlineLevel="1" x14ac:dyDescent="0.3">
      <c r="B13" s="27"/>
      <c r="P13" s="50" t="s">
        <v>233</v>
      </c>
      <c r="Q13" s="429"/>
      <c r="R13" s="429"/>
      <c r="S13" s="429"/>
      <c r="T13" s="275"/>
      <c r="Z13" s="29"/>
    </row>
    <row r="14" spans="2:26" outlineLevel="1" x14ac:dyDescent="0.3">
      <c r="B14" s="27"/>
      <c r="P14" s="50"/>
      <c r="Q14" s="68"/>
      <c r="R14" s="68"/>
      <c r="S14" s="69"/>
      <c r="T14" s="69"/>
      <c r="U14" s="54"/>
      <c r="V14" s="54"/>
      <c r="W14" s="54"/>
      <c r="X14" s="69"/>
      <c r="Y14" s="54"/>
      <c r="Z14" s="29"/>
    </row>
    <row r="15" spans="2:26" outlineLevel="1" x14ac:dyDescent="0.3">
      <c r="B15" s="27"/>
      <c r="P15" s="50" t="s">
        <v>234</v>
      </c>
      <c r="Q15" s="237" t="str">
        <f>'Matriz de Evaluación'!F17</f>
        <v>Alexis Rendon</v>
      </c>
      <c r="R15" s="237"/>
      <c r="S15" s="237"/>
      <c r="T15" s="237"/>
      <c r="U15" s="237"/>
      <c r="V15" s="237"/>
      <c r="W15" s="237"/>
      <c r="X15" s="237"/>
      <c r="Y15" s="237"/>
      <c r="Z15" s="29"/>
    </row>
    <row r="16" spans="2:26" ht="14.4" x14ac:dyDescent="0.3">
      <c r="B16" s="27"/>
      <c r="P16" s="30"/>
      <c r="Z16" s="29"/>
    </row>
    <row r="17" spans="2:26" ht="18" x14ac:dyDescent="0.35">
      <c r="B17" s="27"/>
      <c r="C17" s="428" t="s">
        <v>235</v>
      </c>
      <c r="D17" s="428"/>
      <c r="E17" s="428"/>
      <c r="F17" s="428"/>
      <c r="G17" s="428"/>
      <c r="H17" s="428"/>
      <c r="I17" s="428"/>
      <c r="J17" s="428"/>
      <c r="K17" s="428"/>
      <c r="L17" s="428"/>
      <c r="M17" s="428"/>
      <c r="N17" s="428"/>
      <c r="O17" s="428"/>
      <c r="P17" s="428"/>
      <c r="Q17" s="428"/>
      <c r="R17" s="428"/>
      <c r="S17" s="428"/>
      <c r="T17" s="428"/>
      <c r="U17" s="428"/>
      <c r="V17" s="428"/>
      <c r="W17" s="428"/>
      <c r="X17" s="428"/>
      <c r="Y17" s="428"/>
      <c r="Z17" s="29"/>
    </row>
    <row r="18" spans="2:26" s="21" customFormat="1" ht="41.4" outlineLevel="1" collapsed="1" x14ac:dyDescent="0.3">
      <c r="B18" s="47"/>
      <c r="C18" s="168"/>
      <c r="D18" s="168" t="s">
        <v>236</v>
      </c>
      <c r="E18" s="168" t="s">
        <v>237</v>
      </c>
      <c r="F18" s="168" t="s">
        <v>179</v>
      </c>
      <c r="G18" s="168" t="s">
        <v>181</v>
      </c>
      <c r="H18" s="168" t="s">
        <v>238</v>
      </c>
      <c r="I18" s="168" t="s">
        <v>239</v>
      </c>
      <c r="J18" s="168" t="s">
        <v>240</v>
      </c>
      <c r="K18" s="168" t="s">
        <v>241</v>
      </c>
      <c r="L18" s="168" t="s">
        <v>242</v>
      </c>
      <c r="M18" s="168" t="s">
        <v>243</v>
      </c>
      <c r="N18" s="168" t="s">
        <v>244</v>
      </c>
      <c r="O18" s="168" t="s">
        <v>245</v>
      </c>
      <c r="P18" s="168" t="s">
        <v>246</v>
      </c>
      <c r="Q18" s="34" t="s">
        <v>247</v>
      </c>
      <c r="R18" s="34" t="s">
        <v>248</v>
      </c>
      <c r="S18" s="34" t="s">
        <v>249</v>
      </c>
      <c r="T18" s="34" t="s">
        <v>250</v>
      </c>
      <c r="U18" s="34" t="s">
        <v>251</v>
      </c>
      <c r="V18" s="34" t="s">
        <v>252</v>
      </c>
      <c r="W18" s="34" t="s">
        <v>253</v>
      </c>
      <c r="X18" s="34" t="s">
        <v>254</v>
      </c>
      <c r="Y18" s="42" t="s">
        <v>255</v>
      </c>
      <c r="Z18" s="48"/>
    </row>
    <row r="19" spans="2:26" s="71" customFormat="1" outlineLevel="1" x14ac:dyDescent="0.3">
      <c r="B19" s="70"/>
      <c r="C19" s="80">
        <v>1</v>
      </c>
      <c r="D19" s="80"/>
      <c r="E19" s="80"/>
      <c r="F19" s="80"/>
      <c r="G19" s="80"/>
      <c r="H19" s="80"/>
      <c r="I19" s="80"/>
      <c r="J19" s="80"/>
      <c r="K19" s="80"/>
      <c r="L19" s="80"/>
      <c r="M19" s="80"/>
      <c r="N19" s="80"/>
      <c r="O19" s="80"/>
      <c r="P19" s="252" t="s">
        <v>256</v>
      </c>
      <c r="Q19" s="57">
        <v>45062.666666666664</v>
      </c>
      <c r="R19" s="57">
        <v>45062.6875</v>
      </c>
      <c r="S19" s="170">
        <v>0.5</v>
      </c>
      <c r="T19" s="170"/>
      <c r="U19" s="59"/>
      <c r="V19" s="59"/>
      <c r="W19" s="59"/>
      <c r="X19" s="79"/>
      <c r="Y19" s="66"/>
      <c r="Z19" s="75"/>
    </row>
    <row r="20" spans="2:26" s="71" customFormat="1" outlineLevel="1" x14ac:dyDescent="0.3">
      <c r="B20" s="70"/>
      <c r="C20" s="80"/>
      <c r="D20" s="80"/>
      <c r="E20" s="80"/>
      <c r="F20" s="80"/>
      <c r="G20" s="80"/>
      <c r="H20" s="80"/>
      <c r="I20" s="80"/>
      <c r="J20" s="80"/>
      <c r="K20" s="80"/>
      <c r="L20" s="80"/>
      <c r="M20" s="80"/>
      <c r="N20" s="80"/>
      <c r="O20" s="80"/>
      <c r="P20" s="63"/>
      <c r="Q20" s="57"/>
      <c r="R20" s="57"/>
      <c r="S20" s="277"/>
      <c r="T20" s="170"/>
      <c r="U20" s="59"/>
      <c r="V20" s="59"/>
      <c r="W20" s="59"/>
      <c r="X20" s="79"/>
      <c r="Y20" s="66"/>
      <c r="Z20" s="75"/>
    </row>
    <row r="21" spans="2:26" s="71" customFormat="1" outlineLevel="1" x14ac:dyDescent="0.3">
      <c r="B21" s="70"/>
      <c r="C21" s="80">
        <v>2</v>
      </c>
      <c r="D21" s="80"/>
      <c r="E21" s="80"/>
      <c r="F21" s="80"/>
      <c r="G21" s="80"/>
      <c r="H21" s="80"/>
      <c r="I21" s="80"/>
      <c r="J21" s="80"/>
      <c r="K21" s="80"/>
      <c r="L21" s="80"/>
      <c r="M21" s="80"/>
      <c r="N21" s="80"/>
      <c r="O21" s="80"/>
      <c r="Q21" s="57"/>
      <c r="R21" s="57"/>
      <c r="S21" s="277"/>
      <c r="T21" s="170"/>
      <c r="U21" s="59"/>
      <c r="V21" s="59"/>
      <c r="W21" s="59"/>
      <c r="X21" s="64"/>
      <c r="Y21" s="66"/>
      <c r="Z21" s="75"/>
    </row>
    <row r="22" spans="2:26" s="71" customFormat="1" outlineLevel="1" x14ac:dyDescent="0.3">
      <c r="B22" s="70"/>
      <c r="C22" s="80">
        <v>5</v>
      </c>
      <c r="D22" s="80"/>
      <c r="E22" s="80"/>
      <c r="F22" s="80"/>
      <c r="G22" s="80"/>
      <c r="H22" s="80"/>
      <c r="I22" s="80"/>
      <c r="J22" s="80"/>
      <c r="K22" s="80"/>
      <c r="L22" s="80"/>
      <c r="M22" s="80"/>
      <c r="N22" s="80"/>
      <c r="O22" s="80"/>
      <c r="P22" s="63"/>
      <c r="Q22" s="57"/>
      <c r="R22" s="248"/>
      <c r="S22" s="170"/>
      <c r="T22" s="170"/>
      <c r="U22" s="65"/>
      <c r="V22" s="59"/>
      <c r="W22" s="59"/>
      <c r="X22" s="64"/>
      <c r="Y22" s="66"/>
      <c r="Z22" s="75"/>
    </row>
    <row r="23" spans="2:26" s="71" customFormat="1" outlineLevel="1" x14ac:dyDescent="0.3">
      <c r="B23" s="70"/>
      <c r="C23" s="80">
        <v>6</v>
      </c>
      <c r="D23" s="80"/>
      <c r="E23" s="80"/>
      <c r="F23" s="80"/>
      <c r="G23" s="80"/>
      <c r="H23" s="80"/>
      <c r="I23" s="80"/>
      <c r="J23" s="80"/>
      <c r="K23" s="80"/>
      <c r="L23" s="80"/>
      <c r="M23" s="80"/>
      <c r="N23" s="80"/>
      <c r="O23" s="80"/>
      <c r="P23" s="63"/>
      <c r="Q23" s="57"/>
      <c r="R23" s="248"/>
      <c r="S23" s="170"/>
      <c r="T23" s="170"/>
      <c r="U23" s="65"/>
      <c r="V23" s="59"/>
      <c r="W23" s="59"/>
      <c r="X23" s="64"/>
      <c r="Y23" s="66"/>
      <c r="Z23" s="75"/>
    </row>
    <row r="24" spans="2:26" s="71" customFormat="1" outlineLevel="1" x14ac:dyDescent="0.3">
      <c r="B24" s="70"/>
      <c r="C24" s="80">
        <v>7</v>
      </c>
      <c r="D24" s="80"/>
      <c r="E24" s="80"/>
      <c r="F24" s="80"/>
      <c r="G24" s="80"/>
      <c r="H24" s="80"/>
      <c r="I24" s="80"/>
      <c r="J24" s="80"/>
      <c r="K24" s="80"/>
      <c r="L24" s="80"/>
      <c r="M24" s="80"/>
      <c r="N24" s="80"/>
      <c r="O24" s="80"/>
      <c r="P24" s="63"/>
      <c r="Q24" s="57"/>
      <c r="R24" s="248"/>
      <c r="S24" s="170"/>
      <c r="T24" s="170"/>
      <c r="U24" s="65"/>
      <c r="V24" s="59"/>
      <c r="W24" s="59"/>
      <c r="X24" s="64"/>
      <c r="Y24" s="66"/>
      <c r="Z24" s="75"/>
    </row>
    <row r="25" spans="2:26" s="71" customFormat="1" outlineLevel="1" x14ac:dyDescent="0.3">
      <c r="B25" s="70"/>
      <c r="C25" s="80">
        <v>8</v>
      </c>
      <c r="D25" s="80"/>
      <c r="E25" s="80"/>
      <c r="F25" s="80"/>
      <c r="G25" s="80"/>
      <c r="H25" s="80"/>
      <c r="I25" s="80"/>
      <c r="J25" s="80"/>
      <c r="K25" s="80"/>
      <c r="L25" s="80"/>
      <c r="M25" s="80"/>
      <c r="N25" s="80"/>
      <c r="O25" s="80"/>
      <c r="P25" s="63"/>
      <c r="Q25" s="57"/>
      <c r="R25" s="248"/>
      <c r="S25" s="170"/>
      <c r="T25" s="170"/>
      <c r="U25" s="65"/>
      <c r="V25" s="59"/>
      <c r="W25" s="59"/>
      <c r="X25" s="64"/>
      <c r="Y25" s="66"/>
      <c r="Z25" s="75"/>
    </row>
    <row r="26" spans="2:26" s="71" customFormat="1" outlineLevel="1" x14ac:dyDescent="0.3">
      <c r="B26" s="70"/>
      <c r="C26" s="80">
        <v>9</v>
      </c>
      <c r="D26" s="80"/>
      <c r="E26" s="80"/>
      <c r="F26" s="80"/>
      <c r="G26" s="80"/>
      <c r="H26" s="80"/>
      <c r="I26" s="80"/>
      <c r="J26" s="80"/>
      <c r="K26" s="80"/>
      <c r="L26" s="80"/>
      <c r="M26" s="80"/>
      <c r="N26" s="80"/>
      <c r="O26" s="80"/>
      <c r="P26" s="63"/>
      <c r="Q26" s="57"/>
      <c r="R26" s="248"/>
      <c r="S26" s="170"/>
      <c r="T26" s="170"/>
      <c r="U26" s="65"/>
      <c r="V26" s="59"/>
      <c r="W26" s="59"/>
      <c r="X26" s="64"/>
      <c r="Y26" s="66"/>
      <c r="Z26" s="75"/>
    </row>
    <row r="27" spans="2:26" s="71" customFormat="1" outlineLevel="1" x14ac:dyDescent="0.3">
      <c r="B27" s="70"/>
      <c r="C27" s="80">
        <v>10</v>
      </c>
      <c r="D27" s="80"/>
      <c r="E27" s="80"/>
      <c r="F27" s="80"/>
      <c r="G27" s="80"/>
      <c r="H27" s="80"/>
      <c r="I27" s="80"/>
      <c r="J27" s="80"/>
      <c r="K27" s="80"/>
      <c r="L27" s="80"/>
      <c r="M27" s="80"/>
      <c r="N27" s="80"/>
      <c r="O27" s="80"/>
      <c r="P27" s="63"/>
      <c r="Q27" s="57"/>
      <c r="R27" s="248"/>
      <c r="S27" s="170"/>
      <c r="T27" s="170"/>
      <c r="U27" s="65"/>
      <c r="V27" s="59"/>
      <c r="W27" s="59"/>
      <c r="X27" s="64"/>
      <c r="Y27" s="66"/>
      <c r="Z27" s="75"/>
    </row>
    <row r="28" spans="2:26" s="71" customFormat="1" outlineLevel="1" x14ac:dyDescent="0.3">
      <c r="B28" s="70"/>
      <c r="C28" s="80">
        <v>11</v>
      </c>
      <c r="D28" s="80"/>
      <c r="E28" s="80"/>
      <c r="F28" s="80"/>
      <c r="G28" s="80"/>
      <c r="H28" s="80"/>
      <c r="I28" s="80"/>
      <c r="J28" s="80"/>
      <c r="K28" s="80"/>
      <c r="L28" s="80"/>
      <c r="M28" s="80"/>
      <c r="N28" s="80"/>
      <c r="O28" s="80"/>
      <c r="P28" s="63"/>
      <c r="Q28" s="57"/>
      <c r="R28" s="248"/>
      <c r="S28" s="170"/>
      <c r="T28" s="170"/>
      <c r="U28" s="65"/>
      <c r="V28" s="59"/>
      <c r="W28" s="59"/>
      <c r="X28" s="64"/>
      <c r="Y28" s="66"/>
      <c r="Z28" s="75"/>
    </row>
    <row r="29" spans="2:26" s="71" customFormat="1" outlineLevel="1" x14ac:dyDescent="0.3">
      <c r="B29" s="70"/>
      <c r="C29" s="80">
        <v>12</v>
      </c>
      <c r="D29" s="80"/>
      <c r="E29" s="80"/>
      <c r="F29" s="80"/>
      <c r="G29" s="80"/>
      <c r="H29" s="80"/>
      <c r="I29" s="80"/>
      <c r="J29" s="80"/>
      <c r="K29" s="80"/>
      <c r="L29" s="80"/>
      <c r="M29" s="80"/>
      <c r="N29" s="80"/>
      <c r="O29" s="80"/>
      <c r="P29" s="63"/>
      <c r="Q29" s="57"/>
      <c r="R29" s="248"/>
      <c r="S29" s="170"/>
      <c r="T29" s="170"/>
      <c r="U29" s="65"/>
      <c r="V29" s="59"/>
      <c r="W29" s="59"/>
      <c r="X29" s="64"/>
      <c r="Y29" s="66"/>
      <c r="Z29" s="75"/>
    </row>
    <row r="30" spans="2:26" s="71" customFormat="1" outlineLevel="1" x14ac:dyDescent="0.3">
      <c r="B30" s="70"/>
      <c r="C30" s="80">
        <v>13</v>
      </c>
      <c r="D30" s="80"/>
      <c r="E30" s="80"/>
      <c r="F30" s="80"/>
      <c r="G30" s="80"/>
      <c r="H30" s="80"/>
      <c r="I30" s="80"/>
      <c r="J30" s="80"/>
      <c r="K30" s="80"/>
      <c r="L30" s="80"/>
      <c r="M30" s="80"/>
      <c r="N30" s="80"/>
      <c r="O30" s="80"/>
      <c r="Q30" s="57"/>
      <c r="R30" s="248"/>
      <c r="S30" s="170"/>
      <c r="T30" s="170"/>
      <c r="U30" s="65"/>
      <c r="V30" s="59"/>
      <c r="W30" s="59"/>
      <c r="X30" s="64"/>
      <c r="Y30" s="66"/>
      <c r="Z30" s="75"/>
    </row>
    <row r="31" spans="2:26" s="71" customFormat="1" outlineLevel="1" x14ac:dyDescent="0.3">
      <c r="B31" s="70"/>
      <c r="C31" s="80" t="s">
        <v>257</v>
      </c>
      <c r="D31" s="80"/>
      <c r="E31" s="80"/>
      <c r="F31" s="80"/>
      <c r="G31" s="80"/>
      <c r="H31" s="80"/>
      <c r="I31" s="80"/>
      <c r="J31" s="80"/>
      <c r="K31" s="80"/>
      <c r="L31" s="80"/>
      <c r="M31" s="80"/>
      <c r="N31" s="80"/>
      <c r="O31" s="80"/>
      <c r="P31" s="154" t="s">
        <v>258</v>
      </c>
      <c r="Q31" s="57"/>
      <c r="R31" s="248"/>
      <c r="S31" s="170"/>
      <c r="T31" s="170"/>
      <c r="U31" s="65"/>
      <c r="V31" s="59"/>
      <c r="W31" s="59"/>
      <c r="X31" s="64"/>
      <c r="Y31" s="66"/>
      <c r="Z31" s="75"/>
    </row>
    <row r="32" spans="2:26" s="71" customFormat="1" outlineLevel="2" x14ac:dyDescent="0.3">
      <c r="B32" s="70"/>
      <c r="C32" s="80" t="e">
        <f>+#REF!+1</f>
        <v>#REF!</v>
      </c>
      <c r="D32" s="80"/>
      <c r="E32" s="80"/>
      <c r="F32" s="80"/>
      <c r="G32" s="80"/>
      <c r="H32" s="80"/>
      <c r="I32" s="80"/>
      <c r="J32" s="80"/>
      <c r="K32" s="80"/>
      <c r="L32" s="80"/>
      <c r="M32" s="80"/>
      <c r="N32" s="80"/>
      <c r="O32" s="80"/>
      <c r="P32" s="63"/>
      <c r="Q32" s="57"/>
      <c r="R32" s="248"/>
      <c r="S32" s="170"/>
      <c r="T32" s="170"/>
      <c r="U32" s="65"/>
      <c r="V32" s="59"/>
      <c r="W32" s="59"/>
      <c r="X32" s="64"/>
      <c r="Y32" s="66"/>
      <c r="Z32" s="75"/>
    </row>
    <row r="33" spans="2:26" s="71" customFormat="1" outlineLevel="1" x14ac:dyDescent="0.3">
      <c r="B33" s="70"/>
      <c r="C33" s="221"/>
      <c r="D33" s="221"/>
      <c r="E33" s="221"/>
      <c r="F33" s="221"/>
      <c r="G33" s="221"/>
      <c r="H33" s="221"/>
      <c r="I33" s="221"/>
      <c r="J33" s="221"/>
      <c r="K33" s="221"/>
      <c r="L33" s="221"/>
      <c r="M33" s="221"/>
      <c r="N33" s="221"/>
      <c r="O33" s="221"/>
      <c r="P33" s="221" t="s">
        <v>259</v>
      </c>
      <c r="Q33" s="221"/>
      <c r="R33" s="221"/>
      <c r="S33" s="171">
        <f>SUM(S19:S32)</f>
        <v>0.5</v>
      </c>
      <c r="T33" s="171"/>
      <c r="U33" s="150"/>
      <c r="V33" s="151"/>
      <c r="W33" s="151"/>
      <c r="Y33" s="152"/>
      <c r="Z33" s="75"/>
    </row>
    <row r="34" spans="2:26" x14ac:dyDescent="0.3">
      <c r="B34" s="27"/>
      <c r="C34" s="44"/>
      <c r="D34" s="44"/>
      <c r="E34" s="44"/>
      <c r="F34" s="44"/>
      <c r="G34" s="44"/>
      <c r="H34" s="44"/>
      <c r="I34" s="44"/>
      <c r="J34" s="44"/>
      <c r="K34" s="44"/>
      <c r="L34" s="44"/>
      <c r="M34" s="44"/>
      <c r="N34" s="44"/>
      <c r="O34" s="44"/>
      <c r="P34" s="35"/>
      <c r="Q34" s="36"/>
      <c r="R34" s="36"/>
      <c r="S34" s="37"/>
      <c r="T34" s="37"/>
      <c r="U34" s="23"/>
      <c r="V34" s="38"/>
      <c r="W34" s="38"/>
      <c r="X34" s="23"/>
      <c r="Y34" s="43"/>
      <c r="Z34" s="29"/>
    </row>
    <row r="35" spans="2:26" ht="18" x14ac:dyDescent="0.35">
      <c r="B35" s="27"/>
      <c r="C35" s="216"/>
      <c r="D35" s="216"/>
      <c r="E35" s="216"/>
      <c r="F35" s="216"/>
      <c r="G35" s="216"/>
      <c r="H35" s="216"/>
      <c r="I35" s="216"/>
      <c r="J35" s="216"/>
      <c r="K35" s="216"/>
      <c r="L35" s="216"/>
      <c r="M35" s="216"/>
      <c r="N35" s="216"/>
      <c r="O35" s="216"/>
      <c r="P35" s="430" t="s">
        <v>260</v>
      </c>
      <c r="Q35" s="430"/>
      <c r="R35" s="430"/>
      <c r="S35" s="430"/>
      <c r="T35" s="430"/>
      <c r="U35" s="430"/>
      <c r="V35" s="430"/>
      <c r="W35" s="430"/>
      <c r="X35" s="430"/>
      <c r="Y35" s="430"/>
      <c r="Z35" s="29"/>
    </row>
    <row r="36" spans="2:26" s="21" customFormat="1" outlineLevel="1" x14ac:dyDescent="0.3">
      <c r="B36" s="47"/>
      <c r="C36" s="217"/>
      <c r="D36" s="217"/>
      <c r="E36" s="217"/>
      <c r="F36" s="217"/>
      <c r="G36" s="217"/>
      <c r="H36" s="217"/>
      <c r="I36" s="217"/>
      <c r="J36" s="217"/>
      <c r="K36" s="217"/>
      <c r="L36" s="217"/>
      <c r="M36" s="217"/>
      <c r="N36" s="217"/>
      <c r="O36" s="217"/>
      <c r="P36" s="218" t="s">
        <v>261</v>
      </c>
      <c r="Q36" s="153">
        <v>45063.791666666664</v>
      </c>
      <c r="R36" s="434" t="s">
        <v>262</v>
      </c>
      <c r="S36" s="435"/>
      <c r="T36" s="436"/>
      <c r="U36" s="437">
        <v>45063.875</v>
      </c>
      <c r="V36" s="438"/>
      <c r="W36" s="276"/>
      <c r="X36" s="34"/>
      <c r="Y36" s="42"/>
      <c r="Z36" s="48"/>
    </row>
    <row r="37" spans="2:26" s="21" customFormat="1" ht="41.4" outlineLevel="1" x14ac:dyDescent="0.3">
      <c r="B37" s="47"/>
      <c r="C37" s="168"/>
      <c r="D37" s="168" t="s">
        <v>236</v>
      </c>
      <c r="E37" s="168"/>
      <c r="F37" s="168"/>
      <c r="G37" s="168"/>
      <c r="H37" s="168"/>
      <c r="I37" s="168" t="s">
        <v>239</v>
      </c>
      <c r="J37" s="168" t="s">
        <v>240</v>
      </c>
      <c r="K37" s="168" t="s">
        <v>241</v>
      </c>
      <c r="L37" s="168" t="s">
        <v>263</v>
      </c>
      <c r="M37" s="168"/>
      <c r="N37" s="168"/>
      <c r="O37" s="168"/>
      <c r="P37" s="168" t="s">
        <v>246</v>
      </c>
      <c r="Q37" s="34" t="s">
        <v>247</v>
      </c>
      <c r="R37" s="34" t="s">
        <v>248</v>
      </c>
      <c r="S37" s="34" t="s">
        <v>264</v>
      </c>
      <c r="T37" s="34" t="s">
        <v>250</v>
      </c>
      <c r="U37" s="34" t="s">
        <v>251</v>
      </c>
      <c r="V37" s="34" t="s">
        <v>252</v>
      </c>
      <c r="W37" s="34" t="s">
        <v>253</v>
      </c>
      <c r="X37" s="34" t="s">
        <v>254</v>
      </c>
      <c r="Y37" s="42" t="s">
        <v>255</v>
      </c>
      <c r="Z37" s="48"/>
    </row>
    <row r="38" spans="2:26" s="71" customFormat="1" outlineLevel="1" x14ac:dyDescent="0.3">
      <c r="B38" s="70"/>
      <c r="C38" s="80">
        <v>1</v>
      </c>
      <c r="D38" s="166"/>
      <c r="E38" s="166"/>
      <c r="F38" s="166"/>
      <c r="G38" s="166"/>
      <c r="H38" s="166"/>
      <c r="I38" s="166"/>
      <c r="J38" s="166"/>
      <c r="K38" s="166"/>
      <c r="L38" s="166"/>
      <c r="M38" s="166"/>
      <c r="N38" s="166"/>
      <c r="O38" s="166"/>
      <c r="P38" s="252" t="s">
        <v>307</v>
      </c>
      <c r="Q38" s="57">
        <f>Q36</f>
        <v>45063.791666666664</v>
      </c>
      <c r="R38" s="57">
        <f t="shared" ref="R38:R43" si="0">+Q38+S38/24+T38/24</f>
        <v>45063.8125</v>
      </c>
      <c r="S38" s="170">
        <v>0.5</v>
      </c>
      <c r="T38" s="170"/>
      <c r="U38" s="59"/>
      <c r="V38" s="59" t="s">
        <v>265</v>
      </c>
      <c r="W38" s="59"/>
      <c r="X38" s="59"/>
      <c r="Y38" s="133"/>
      <c r="Z38" s="75"/>
    </row>
    <row r="39" spans="2:26" s="71" customFormat="1" outlineLevel="1" x14ac:dyDescent="0.3">
      <c r="B39" s="70"/>
      <c r="C39" s="80">
        <v>2</v>
      </c>
      <c r="D39" s="80"/>
      <c r="E39" s="80"/>
      <c r="F39" s="80"/>
      <c r="G39" s="80"/>
      <c r="H39" s="80"/>
      <c r="I39" s="80"/>
      <c r="J39" s="80"/>
      <c r="K39" s="80"/>
      <c r="L39" s="80"/>
      <c r="M39" s="80"/>
      <c r="N39" s="80"/>
      <c r="O39" s="80"/>
      <c r="P39" s="252" t="s">
        <v>306</v>
      </c>
      <c r="Q39" s="57">
        <f>+R38</f>
        <v>45063.8125</v>
      </c>
      <c r="R39" s="57">
        <f t="shared" si="0"/>
        <v>45063.833333333336</v>
      </c>
      <c r="S39" s="170">
        <v>0.5</v>
      </c>
      <c r="T39" s="170"/>
      <c r="U39" s="59"/>
      <c r="V39" s="59" t="s">
        <v>265</v>
      </c>
      <c r="W39" s="59"/>
      <c r="X39" s="59"/>
      <c r="Y39" s="134"/>
      <c r="Z39" s="75"/>
    </row>
    <row r="40" spans="2:26" s="71" customFormat="1" outlineLevel="1" x14ac:dyDescent="0.3">
      <c r="B40" s="70"/>
      <c r="C40" s="80">
        <v>3</v>
      </c>
      <c r="D40" s="80"/>
      <c r="E40" s="80"/>
      <c r="F40" s="80"/>
      <c r="G40" s="80"/>
      <c r="H40" s="80"/>
      <c r="I40" s="80"/>
      <c r="J40" s="80"/>
      <c r="K40" s="80"/>
      <c r="L40" s="80"/>
      <c r="M40" s="80"/>
      <c r="N40" s="80"/>
      <c r="O40" s="80"/>
      <c r="P40" s="252" t="s">
        <v>302</v>
      </c>
      <c r="Q40" s="57">
        <f>+R39</f>
        <v>45063.833333333336</v>
      </c>
      <c r="R40" s="57">
        <f t="shared" si="0"/>
        <v>45063.875</v>
      </c>
      <c r="S40" s="170">
        <v>1</v>
      </c>
      <c r="T40" s="170"/>
      <c r="U40" s="59"/>
      <c r="V40" s="59" t="s">
        <v>266</v>
      </c>
      <c r="W40" s="59"/>
      <c r="X40" s="59"/>
      <c r="Y40" s="262"/>
      <c r="Z40" s="75"/>
    </row>
    <row r="41" spans="2:26" s="71" customFormat="1" outlineLevel="1" x14ac:dyDescent="0.3">
      <c r="B41" s="70"/>
      <c r="C41" s="80">
        <v>4</v>
      </c>
      <c r="D41" s="80"/>
      <c r="E41" s="80"/>
      <c r="F41" s="80"/>
      <c r="G41" s="80"/>
      <c r="H41" s="80"/>
      <c r="I41" s="80"/>
      <c r="J41" s="80"/>
      <c r="K41" s="80"/>
      <c r="L41" s="80"/>
      <c r="M41" s="80"/>
      <c r="N41" s="80"/>
      <c r="O41" s="80"/>
      <c r="P41" s="252"/>
      <c r="Q41" s="57"/>
      <c r="R41" s="57"/>
      <c r="S41" s="170"/>
      <c r="T41" s="170"/>
      <c r="U41" s="59"/>
      <c r="V41" s="59"/>
      <c r="W41" s="59"/>
      <c r="X41" s="59"/>
      <c r="Y41" s="262"/>
      <c r="Z41" s="75"/>
    </row>
    <row r="42" spans="2:26" s="71" customFormat="1" outlineLevel="1" x14ac:dyDescent="0.3">
      <c r="B42" s="70"/>
      <c r="C42" s="80">
        <v>5</v>
      </c>
      <c r="D42" s="80"/>
      <c r="E42" s="80"/>
      <c r="F42" s="80"/>
      <c r="G42" s="80"/>
      <c r="H42" s="80"/>
      <c r="I42" s="80"/>
      <c r="J42" s="80"/>
      <c r="K42" s="80"/>
      <c r="L42" s="80"/>
      <c r="M42" s="80"/>
      <c r="N42" s="80"/>
      <c r="O42" s="80"/>
      <c r="P42" s="252"/>
      <c r="Q42" s="57"/>
      <c r="R42" s="57"/>
      <c r="S42" s="170"/>
      <c r="T42" s="170"/>
      <c r="U42" s="59"/>
      <c r="V42" s="59"/>
      <c r="W42" s="59"/>
      <c r="X42" s="64"/>
      <c r="Y42" s="66"/>
      <c r="Z42" s="75"/>
    </row>
    <row r="43" spans="2:26" s="71" customFormat="1" outlineLevel="1" x14ac:dyDescent="0.3">
      <c r="B43" s="70"/>
      <c r="C43" s="80">
        <v>6</v>
      </c>
      <c r="D43" s="80"/>
      <c r="E43" s="80"/>
      <c r="F43" s="80"/>
      <c r="G43" s="80"/>
      <c r="H43" s="80"/>
      <c r="I43" s="80"/>
      <c r="J43" s="80"/>
      <c r="K43" s="80"/>
      <c r="L43" s="80"/>
      <c r="M43" s="80"/>
      <c r="N43" s="80"/>
      <c r="O43" s="80"/>
      <c r="P43" s="252"/>
      <c r="Q43" s="57"/>
      <c r="R43" s="57"/>
      <c r="S43" s="170"/>
      <c r="T43" s="170"/>
      <c r="U43" s="59"/>
      <c r="V43" s="59"/>
      <c r="W43" s="59"/>
      <c r="X43" s="64"/>
      <c r="Y43" s="66"/>
      <c r="Z43" s="75"/>
    </row>
    <row r="44" spans="2:26" s="71" customFormat="1" outlineLevel="1" x14ac:dyDescent="0.3">
      <c r="B44" s="70"/>
      <c r="C44" s="80">
        <v>7</v>
      </c>
      <c r="D44" s="80"/>
      <c r="E44" s="80"/>
      <c r="F44" s="80"/>
      <c r="G44" s="80"/>
      <c r="H44" s="80"/>
      <c r="I44" s="80"/>
      <c r="J44" s="80"/>
      <c r="K44" s="80"/>
      <c r="L44" s="80"/>
      <c r="M44" s="80"/>
      <c r="N44" s="80"/>
      <c r="O44" s="80"/>
      <c r="P44" s="252"/>
      <c r="Q44" s="57"/>
      <c r="R44" s="57"/>
      <c r="S44" s="170"/>
      <c r="T44" s="170"/>
      <c r="U44" s="59"/>
      <c r="V44" s="59"/>
      <c r="W44" s="59"/>
      <c r="X44" s="64"/>
      <c r="Y44" s="66"/>
      <c r="Z44" s="75"/>
    </row>
    <row r="45" spans="2:26" s="71" customFormat="1" outlineLevel="1" x14ac:dyDescent="0.3">
      <c r="B45" s="70"/>
      <c r="C45" s="80">
        <v>8</v>
      </c>
      <c r="D45" s="80"/>
      <c r="E45" s="80"/>
      <c r="F45" s="80"/>
      <c r="G45" s="80"/>
      <c r="H45" s="80"/>
      <c r="I45" s="80"/>
      <c r="J45" s="80"/>
      <c r="K45" s="80"/>
      <c r="L45" s="80"/>
      <c r="M45" s="80"/>
      <c r="N45" s="80"/>
      <c r="O45" s="80"/>
      <c r="P45" s="252"/>
      <c r="Q45" s="57"/>
      <c r="R45" s="57"/>
      <c r="S45" s="170"/>
      <c r="T45" s="170"/>
      <c r="U45" s="59"/>
      <c r="V45" s="59"/>
      <c r="W45" s="59"/>
      <c r="X45" s="64"/>
      <c r="Y45" s="66"/>
      <c r="Z45" s="75"/>
    </row>
    <row r="46" spans="2:26" s="71" customFormat="1" outlineLevel="1" x14ac:dyDescent="0.3">
      <c r="B46" s="70"/>
      <c r="C46" s="80">
        <v>9</v>
      </c>
      <c r="D46" s="80"/>
      <c r="E46" s="80"/>
      <c r="F46" s="80"/>
      <c r="G46" s="80"/>
      <c r="H46" s="80"/>
      <c r="I46" s="80"/>
      <c r="J46" s="80"/>
      <c r="K46" s="80"/>
      <c r="L46" s="80"/>
      <c r="M46" s="80"/>
      <c r="N46" s="80"/>
      <c r="O46" s="80"/>
      <c r="P46" s="252"/>
      <c r="Q46" s="57"/>
      <c r="R46" s="248"/>
      <c r="S46" s="170"/>
      <c r="T46" s="170"/>
      <c r="U46" s="65"/>
      <c r="V46" s="59"/>
      <c r="W46" s="59"/>
      <c r="X46" s="64"/>
      <c r="Y46" s="66"/>
      <c r="Z46" s="75"/>
    </row>
    <row r="47" spans="2:26" s="71" customFormat="1" outlineLevel="1" x14ac:dyDescent="0.3">
      <c r="B47" s="70"/>
      <c r="C47" s="80">
        <v>10</v>
      </c>
      <c r="D47" s="80"/>
      <c r="E47" s="80"/>
      <c r="F47" s="80"/>
      <c r="G47" s="80"/>
      <c r="H47" s="80"/>
      <c r="I47" s="80"/>
      <c r="J47" s="80"/>
      <c r="K47" s="80"/>
      <c r="L47" s="80"/>
      <c r="M47" s="80"/>
      <c r="N47" s="80"/>
      <c r="O47" s="80"/>
      <c r="P47" s="252"/>
      <c r="Q47" s="57"/>
      <c r="R47" s="248"/>
      <c r="S47" s="170"/>
      <c r="T47" s="170"/>
      <c r="U47" s="65"/>
      <c r="V47" s="59"/>
      <c r="W47" s="59"/>
      <c r="X47" s="64"/>
      <c r="Y47" s="66"/>
      <c r="Z47" s="75"/>
    </row>
    <row r="48" spans="2:26" s="71" customFormat="1" outlineLevel="1" x14ac:dyDescent="0.3">
      <c r="B48" s="70"/>
      <c r="C48" s="80">
        <v>11</v>
      </c>
      <c r="D48" s="80"/>
      <c r="E48" s="80"/>
      <c r="F48" s="80"/>
      <c r="G48" s="80"/>
      <c r="H48" s="80"/>
      <c r="I48" s="80"/>
      <c r="J48" s="80"/>
      <c r="K48" s="80"/>
      <c r="L48" s="80"/>
      <c r="M48" s="80"/>
      <c r="N48" s="80"/>
      <c r="O48" s="80"/>
      <c r="P48" s="252"/>
      <c r="Q48" s="57"/>
      <c r="R48" s="248"/>
      <c r="S48" s="170"/>
      <c r="T48" s="170"/>
      <c r="U48" s="65"/>
      <c r="V48" s="59"/>
      <c r="W48" s="59"/>
      <c r="X48" s="64"/>
      <c r="Y48" s="66"/>
      <c r="Z48" s="75"/>
    </row>
    <row r="49" spans="2:26" s="71" customFormat="1" outlineLevel="1" x14ac:dyDescent="0.3">
      <c r="B49" s="70"/>
      <c r="C49" s="80">
        <v>12</v>
      </c>
      <c r="D49" s="80"/>
      <c r="E49" s="80"/>
      <c r="F49" s="80"/>
      <c r="G49" s="80"/>
      <c r="H49" s="80"/>
      <c r="I49" s="80"/>
      <c r="J49" s="80"/>
      <c r="K49" s="80"/>
      <c r="L49" s="80"/>
      <c r="M49" s="80"/>
      <c r="N49" s="80"/>
      <c r="O49" s="80"/>
      <c r="P49" s="252"/>
      <c r="Q49" s="57"/>
      <c r="R49" s="248"/>
      <c r="S49" s="170"/>
      <c r="T49" s="170"/>
      <c r="U49" s="65"/>
      <c r="V49" s="59"/>
      <c r="W49" s="59"/>
      <c r="X49" s="64"/>
      <c r="Y49" s="66"/>
      <c r="Z49" s="75"/>
    </row>
    <row r="50" spans="2:26" s="71" customFormat="1" outlineLevel="1" x14ac:dyDescent="0.3">
      <c r="B50" s="70"/>
      <c r="C50" s="80">
        <v>13</v>
      </c>
      <c r="D50" s="80"/>
      <c r="E50" s="80"/>
      <c r="F50" s="80"/>
      <c r="G50" s="80"/>
      <c r="H50" s="80"/>
      <c r="I50" s="80"/>
      <c r="J50" s="80"/>
      <c r="K50" s="80"/>
      <c r="L50" s="80"/>
      <c r="M50" s="80"/>
      <c r="N50" s="80"/>
      <c r="O50" s="80"/>
      <c r="P50" s="252"/>
      <c r="Q50" s="57"/>
      <c r="R50" s="248"/>
      <c r="S50" s="170"/>
      <c r="T50" s="170"/>
      <c r="U50" s="65"/>
      <c r="V50" s="59"/>
      <c r="W50" s="59"/>
      <c r="X50" s="64"/>
      <c r="Y50" s="66"/>
      <c r="Z50" s="75"/>
    </row>
    <row r="51" spans="2:26" s="71" customFormat="1" outlineLevel="1" x14ac:dyDescent="0.3">
      <c r="B51" s="70"/>
      <c r="C51" s="80">
        <v>14</v>
      </c>
      <c r="D51" s="80"/>
      <c r="E51" s="80"/>
      <c r="F51" s="80"/>
      <c r="G51" s="80"/>
      <c r="H51" s="80"/>
      <c r="I51" s="80"/>
      <c r="J51" s="80"/>
      <c r="K51" s="80"/>
      <c r="L51" s="80"/>
      <c r="M51" s="80"/>
      <c r="N51" s="80"/>
      <c r="O51" s="80"/>
      <c r="P51" s="63"/>
      <c r="Q51" s="57"/>
      <c r="R51" s="248"/>
      <c r="S51" s="170"/>
      <c r="T51" s="170"/>
      <c r="U51" s="65"/>
      <c r="V51" s="59"/>
      <c r="W51" s="59"/>
      <c r="X51" s="64"/>
      <c r="Y51" s="66"/>
      <c r="Z51" s="75"/>
    </row>
    <row r="52" spans="2:26" s="71" customFormat="1" outlineLevel="1" x14ac:dyDescent="0.3">
      <c r="B52" s="70"/>
      <c r="C52" s="80">
        <v>15</v>
      </c>
      <c r="D52" s="80"/>
      <c r="E52" s="80"/>
      <c r="F52" s="80"/>
      <c r="G52" s="80"/>
      <c r="H52" s="80"/>
      <c r="I52" s="80"/>
      <c r="J52" s="80"/>
      <c r="K52" s="80"/>
      <c r="L52" s="80"/>
      <c r="M52" s="80"/>
      <c r="N52" s="80"/>
      <c r="O52" s="80"/>
      <c r="P52" s="63"/>
      <c r="Q52" s="57"/>
      <c r="R52" s="248"/>
      <c r="S52" s="170"/>
      <c r="T52" s="170"/>
      <c r="U52" s="65"/>
      <c r="V52" s="59"/>
      <c r="W52" s="59"/>
      <c r="X52" s="64"/>
      <c r="Y52" s="66"/>
      <c r="Z52" s="75"/>
    </row>
    <row r="53" spans="2:26" s="71" customFormat="1" outlineLevel="1" x14ac:dyDescent="0.3">
      <c r="B53" s="70"/>
      <c r="C53" s="80">
        <v>16</v>
      </c>
      <c r="D53" s="80"/>
      <c r="E53" s="80"/>
      <c r="F53" s="80"/>
      <c r="G53" s="80"/>
      <c r="H53" s="80"/>
      <c r="I53" s="80"/>
      <c r="J53" s="80"/>
      <c r="K53" s="80"/>
      <c r="L53" s="80"/>
      <c r="M53" s="80"/>
      <c r="N53" s="80"/>
      <c r="O53" s="80"/>
      <c r="P53" s="63"/>
      <c r="Q53" s="57"/>
      <c r="R53" s="248"/>
      <c r="S53" s="170"/>
      <c r="T53" s="170"/>
      <c r="U53" s="65"/>
      <c r="V53" s="59"/>
      <c r="W53" s="59"/>
      <c r="X53" s="64"/>
      <c r="Y53" s="66"/>
      <c r="Z53" s="75"/>
    </row>
    <row r="54" spans="2:26" s="71" customFormat="1" outlineLevel="1" x14ac:dyDescent="0.3">
      <c r="B54" s="70"/>
      <c r="C54" s="80">
        <v>17</v>
      </c>
      <c r="D54" s="80"/>
      <c r="E54" s="80"/>
      <c r="F54" s="80"/>
      <c r="G54" s="80"/>
      <c r="H54" s="80"/>
      <c r="I54" s="80"/>
      <c r="J54" s="80"/>
      <c r="K54" s="80"/>
      <c r="L54" s="80"/>
      <c r="M54" s="80"/>
      <c r="N54" s="80"/>
      <c r="O54" s="80"/>
      <c r="P54" s="63"/>
      <c r="Q54" s="57"/>
      <c r="R54" s="248"/>
      <c r="S54" s="170"/>
      <c r="T54" s="170"/>
      <c r="U54" s="65"/>
      <c r="V54" s="59"/>
      <c r="W54" s="59"/>
      <c r="X54" s="64"/>
      <c r="Y54" s="66"/>
      <c r="Z54" s="75"/>
    </row>
    <row r="55" spans="2:26" s="71" customFormat="1" outlineLevel="1" x14ac:dyDescent="0.3">
      <c r="B55" s="70"/>
      <c r="C55" s="80">
        <v>18</v>
      </c>
      <c r="D55" s="80" t="b">
        <f ca="1">INDIRECT(E55)</f>
        <v>0</v>
      </c>
      <c r="E55" s="80" t="s">
        <v>267</v>
      </c>
      <c r="F55" s="80" t="s">
        <v>268</v>
      </c>
      <c r="G55" s="80" t="s">
        <v>268</v>
      </c>
      <c r="H55" s="80" t="s">
        <v>269</v>
      </c>
      <c r="I55" s="80" t="b">
        <f ca="1">IF(H55="ALL",paddbl,IF(H55="paddbl",INDIRECT(H55),""))</f>
        <v>0</v>
      </c>
      <c r="J55" s="80" t="str">
        <f ca="1">IF(H55="All",+pmodbl,IF(H55="pmodbl",INDIRECT(H55),""))</f>
        <v/>
      </c>
      <c r="K55" s="80" t="str">
        <f ca="1">IF(H55="All",+prembl,IF(H55="prembl",INDIRECT(H55),""))</f>
        <v/>
      </c>
      <c r="L55" s="80" t="b">
        <f ca="1">IFERROR(OR(I55:K55),"")</f>
        <v>0</v>
      </c>
      <c r="M55" s="80" t="b">
        <f ca="1">IFERROR(IF(AND(D55,OR(paddbl=TRUE,pmodbl=TRUE,prembl=TRUE)),TRUE,FALSE),"")</f>
        <v>0</v>
      </c>
      <c r="N55" s="80" t="b">
        <f>IF(AND(unix,G55="No"),FALSE,IF(AND(win,F55="No"),FALSE,TRUE))</f>
        <v>1</v>
      </c>
      <c r="O55" s="80" t="str">
        <f ca="1">IF(N55=FALSE,"Apaga",IF(OR(D55=FALSE,D55=""),IF(OR(L55=FALSE,L55=""),"Apaga",IF(M55,"Prende","Apaga")),IF(OR(L55=FALSE,L55=""),"Prende",IF(M55,"Prende","Apaga"))))</f>
        <v>Apaga</v>
      </c>
      <c r="P55" s="67" t="s">
        <v>270</v>
      </c>
      <c r="Q55" s="248">
        <f>+R53</f>
        <v>0</v>
      </c>
      <c r="R55" s="248">
        <f>+Q55+S55/24+T55/24</f>
        <v>0</v>
      </c>
      <c r="S55" s="58"/>
      <c r="T55" s="58"/>
      <c r="U55" s="59" t="s">
        <v>271</v>
      </c>
      <c r="V55" s="59"/>
      <c r="W55" s="59"/>
      <c r="X55" s="64" t="s">
        <v>272</v>
      </c>
      <c r="Y55" s="66"/>
      <c r="Z55" s="75"/>
    </row>
    <row r="56" spans="2:26" outlineLevel="1" x14ac:dyDescent="0.3">
      <c r="B56" s="27"/>
      <c r="C56" s="219"/>
      <c r="D56" s="219"/>
      <c r="E56" s="219"/>
      <c r="F56" s="219"/>
      <c r="G56" s="219"/>
      <c r="H56" s="219"/>
      <c r="I56" s="219"/>
      <c r="J56" s="219"/>
      <c r="K56" s="219"/>
      <c r="L56" s="219"/>
      <c r="M56" s="219"/>
      <c r="N56" s="219"/>
      <c r="O56" s="219"/>
      <c r="P56" s="219" t="s">
        <v>259</v>
      </c>
      <c r="Q56" s="219"/>
      <c r="R56" s="219"/>
      <c r="S56" s="171">
        <f>SUM(S38:S55)</f>
        <v>2</v>
      </c>
      <c r="T56" s="171"/>
      <c r="U56" s="22"/>
      <c r="X56" s="22"/>
      <c r="Z56" s="29"/>
    </row>
    <row r="57" spans="2:26" ht="14.4" x14ac:dyDescent="0.3">
      <c r="B57" s="27"/>
      <c r="P57" s="30"/>
      <c r="Z57" s="29"/>
    </row>
    <row r="58" spans="2:26" ht="18" x14ac:dyDescent="0.35">
      <c r="B58" s="27"/>
      <c r="C58" s="220"/>
      <c r="D58" s="220"/>
      <c r="E58" s="220"/>
      <c r="F58" s="220"/>
      <c r="G58" s="220"/>
      <c r="H58" s="220"/>
      <c r="I58" s="220"/>
      <c r="J58" s="220"/>
      <c r="K58" s="220"/>
      <c r="L58" s="220"/>
      <c r="M58" s="220"/>
      <c r="N58" s="220"/>
      <c r="O58" s="220"/>
      <c r="P58" s="431" t="s">
        <v>273</v>
      </c>
      <c r="Q58" s="431"/>
      <c r="R58" s="431"/>
      <c r="S58" s="431"/>
      <c r="T58" s="431"/>
      <c r="U58" s="431"/>
      <c r="V58" s="431"/>
      <c r="W58" s="431"/>
      <c r="X58" s="431"/>
      <c r="Y58" s="431"/>
      <c r="Z58" s="29"/>
    </row>
    <row r="59" spans="2:26" s="21" customFormat="1" ht="41.4" outlineLevel="1" x14ac:dyDescent="0.3">
      <c r="B59" s="47"/>
      <c r="C59" s="168"/>
      <c r="D59" s="168" t="s">
        <v>236</v>
      </c>
      <c r="E59" s="168"/>
      <c r="F59" s="168"/>
      <c r="G59" s="168"/>
      <c r="H59" s="168"/>
      <c r="I59" s="168" t="s">
        <v>239</v>
      </c>
      <c r="J59" s="168" t="s">
        <v>240</v>
      </c>
      <c r="K59" s="168" t="s">
        <v>241</v>
      </c>
      <c r="L59" s="168" t="s">
        <v>263</v>
      </c>
      <c r="M59" s="168"/>
      <c r="N59" s="168"/>
      <c r="O59" s="168"/>
      <c r="P59" s="168" t="s">
        <v>246</v>
      </c>
      <c r="Q59" s="34" t="s">
        <v>247</v>
      </c>
      <c r="R59" s="34" t="s">
        <v>248</v>
      </c>
      <c r="S59" s="34" t="s">
        <v>249</v>
      </c>
      <c r="T59" s="34" t="s">
        <v>250</v>
      </c>
      <c r="U59" s="34" t="s">
        <v>251</v>
      </c>
      <c r="V59" s="34" t="s">
        <v>252</v>
      </c>
      <c r="W59" s="34" t="s">
        <v>253</v>
      </c>
      <c r="X59" s="34" t="s">
        <v>254</v>
      </c>
      <c r="Y59" s="42" t="s">
        <v>255</v>
      </c>
      <c r="Z59" s="48"/>
    </row>
    <row r="60" spans="2:26" s="71" customFormat="1" outlineLevel="1" x14ac:dyDescent="0.3">
      <c r="B60" s="70"/>
      <c r="C60" s="80">
        <v>1</v>
      </c>
      <c r="D60" s="80"/>
      <c r="E60" s="80"/>
      <c r="F60" s="80"/>
      <c r="G60" s="80"/>
      <c r="H60" s="80"/>
      <c r="I60" s="80"/>
      <c r="J60" s="80"/>
      <c r="K60" s="80"/>
      <c r="L60" s="80"/>
      <c r="M60" s="80"/>
      <c r="N60" s="80"/>
      <c r="O60" s="80"/>
      <c r="W60" s="59"/>
      <c r="X60" s="79"/>
      <c r="Y60" s="66"/>
      <c r="Z60" s="75"/>
    </row>
    <row r="61" spans="2:26" s="71" customFormat="1" outlineLevel="1" x14ac:dyDescent="0.3">
      <c r="B61" s="70"/>
      <c r="C61" s="80">
        <v>2</v>
      </c>
      <c r="D61" s="80"/>
      <c r="E61" s="80"/>
      <c r="F61" s="80"/>
      <c r="G61" s="80"/>
      <c r="H61" s="80"/>
      <c r="I61" s="80"/>
      <c r="J61" s="80"/>
      <c r="K61" s="80"/>
      <c r="L61" s="80"/>
      <c r="M61" s="80"/>
      <c r="N61" s="80"/>
      <c r="O61" s="80"/>
      <c r="W61" s="59"/>
      <c r="X61" s="64"/>
      <c r="Y61" s="66"/>
      <c r="Z61" s="75"/>
    </row>
    <row r="62" spans="2:26" s="71" customFormat="1" outlineLevel="1" x14ac:dyDescent="0.3">
      <c r="B62" s="70"/>
      <c r="C62" s="80"/>
      <c r="D62" s="80"/>
      <c r="E62" s="80"/>
      <c r="F62" s="80"/>
      <c r="G62" s="80"/>
      <c r="H62" s="80"/>
      <c r="I62" s="80"/>
      <c r="J62" s="80"/>
      <c r="K62" s="80"/>
      <c r="L62" s="80"/>
      <c r="M62" s="80"/>
      <c r="N62" s="80"/>
      <c r="O62" s="80"/>
      <c r="W62" s="59"/>
      <c r="X62" s="64"/>
      <c r="Y62" s="66"/>
      <c r="Z62" s="75"/>
    </row>
    <row r="63" spans="2:26" s="71" customFormat="1" outlineLevel="1" x14ac:dyDescent="0.3">
      <c r="B63" s="70"/>
      <c r="C63" s="80"/>
      <c r="D63" s="80"/>
      <c r="E63" s="80"/>
      <c r="F63" s="80"/>
      <c r="G63" s="80"/>
      <c r="H63" s="80"/>
      <c r="I63" s="80"/>
      <c r="J63" s="80"/>
      <c r="K63" s="80"/>
      <c r="L63" s="80"/>
      <c r="M63" s="80"/>
      <c r="N63" s="80"/>
      <c r="O63" s="80"/>
      <c r="W63" s="59"/>
      <c r="X63" s="64"/>
      <c r="Y63" s="66"/>
      <c r="Z63" s="75"/>
    </row>
    <row r="64" spans="2:26" s="71" customFormat="1" outlineLevel="1" x14ac:dyDescent="0.3">
      <c r="B64" s="70"/>
      <c r="C64" s="80"/>
      <c r="D64" s="80"/>
      <c r="E64" s="80"/>
      <c r="F64" s="80"/>
      <c r="G64" s="80"/>
      <c r="H64" s="80"/>
      <c r="I64" s="80"/>
      <c r="J64" s="80"/>
      <c r="K64" s="80"/>
      <c r="L64" s="80"/>
      <c r="M64" s="80"/>
      <c r="N64" s="80"/>
      <c r="O64" s="80"/>
      <c r="W64" s="59"/>
      <c r="X64" s="64"/>
      <c r="Y64" s="66"/>
      <c r="Z64" s="75"/>
    </row>
    <row r="65" spans="2:26" s="71" customFormat="1" outlineLevel="1" x14ac:dyDescent="0.3">
      <c r="B65" s="70"/>
      <c r="C65" s="80"/>
      <c r="D65" s="80"/>
      <c r="E65" s="80"/>
      <c r="F65" s="80"/>
      <c r="G65" s="80"/>
      <c r="H65" s="80"/>
      <c r="I65" s="80"/>
      <c r="J65" s="80"/>
      <c r="K65" s="80"/>
      <c r="L65" s="80"/>
      <c r="M65" s="80"/>
      <c r="N65" s="80"/>
      <c r="O65" s="80"/>
      <c r="W65" s="59"/>
      <c r="X65" s="64"/>
      <c r="Y65" s="66"/>
      <c r="Z65" s="75"/>
    </row>
    <row r="66" spans="2:26" s="71" customFormat="1" outlineLevel="1" x14ac:dyDescent="0.3">
      <c r="B66" s="70"/>
      <c r="C66" s="80"/>
      <c r="D66" s="80"/>
      <c r="E66" s="80"/>
      <c r="F66" s="80"/>
      <c r="G66" s="80"/>
      <c r="H66" s="80"/>
      <c r="I66" s="80"/>
      <c r="J66" s="80"/>
      <c r="K66" s="80"/>
      <c r="L66" s="80"/>
      <c r="M66" s="80"/>
      <c r="N66" s="80"/>
      <c r="O66" s="80"/>
      <c r="W66" s="59"/>
      <c r="X66" s="64"/>
      <c r="Y66" s="66"/>
      <c r="Z66" s="75"/>
    </row>
    <row r="67" spans="2:26" s="71" customFormat="1" outlineLevel="1" x14ac:dyDescent="0.3">
      <c r="B67" s="70"/>
      <c r="C67" s="80"/>
      <c r="D67" s="80"/>
      <c r="E67" s="80"/>
      <c r="F67" s="80"/>
      <c r="G67" s="80"/>
      <c r="H67" s="80"/>
      <c r="I67" s="80"/>
      <c r="J67" s="80"/>
      <c r="K67" s="80"/>
      <c r="L67" s="80"/>
      <c r="M67" s="80"/>
      <c r="N67" s="80"/>
      <c r="O67" s="80"/>
      <c r="W67" s="59"/>
      <c r="X67" s="64"/>
      <c r="Y67" s="66"/>
      <c r="Z67" s="75"/>
    </row>
    <row r="68" spans="2:26" s="71" customFormat="1" outlineLevel="1" x14ac:dyDescent="0.3">
      <c r="B68" s="70"/>
      <c r="C68" s="80"/>
      <c r="D68" s="80"/>
      <c r="E68" s="80"/>
      <c r="F68" s="80"/>
      <c r="G68" s="80"/>
      <c r="H68" s="80"/>
      <c r="I68" s="80"/>
      <c r="J68" s="80"/>
      <c r="K68" s="80"/>
      <c r="L68" s="80"/>
      <c r="M68" s="80"/>
      <c r="N68" s="80"/>
      <c r="O68" s="80"/>
      <c r="W68" s="59"/>
      <c r="X68" s="64"/>
      <c r="Y68" s="66"/>
      <c r="Z68" s="75"/>
    </row>
    <row r="69" spans="2:26" s="71" customFormat="1" outlineLevel="1" x14ac:dyDescent="0.3">
      <c r="B69" s="70"/>
      <c r="C69" s="80"/>
      <c r="D69" s="80"/>
      <c r="E69" s="80"/>
      <c r="F69" s="80"/>
      <c r="G69" s="80"/>
      <c r="H69" s="80"/>
      <c r="I69" s="80"/>
      <c r="J69" s="80"/>
      <c r="K69" s="80"/>
      <c r="L69" s="80"/>
      <c r="M69" s="80"/>
      <c r="N69" s="80"/>
      <c r="O69" s="80"/>
      <c r="W69" s="59"/>
      <c r="X69" s="64"/>
      <c r="Y69" s="66"/>
      <c r="Z69" s="75"/>
    </row>
    <row r="70" spans="2:26" s="71" customFormat="1" outlineLevel="1" x14ac:dyDescent="0.3">
      <c r="B70" s="70"/>
      <c r="C70" s="80"/>
      <c r="D70" s="80"/>
      <c r="E70" s="80"/>
      <c r="F70" s="80"/>
      <c r="G70" s="80"/>
      <c r="H70" s="80"/>
      <c r="I70" s="80"/>
      <c r="J70" s="80"/>
      <c r="K70" s="80"/>
      <c r="L70" s="80"/>
      <c r="M70" s="80"/>
      <c r="N70" s="80"/>
      <c r="O70" s="80"/>
      <c r="W70" s="59"/>
      <c r="X70" s="64"/>
      <c r="Y70" s="66"/>
      <c r="Z70" s="75"/>
    </row>
    <row r="71" spans="2:26" s="71" customFormat="1" outlineLevel="1" x14ac:dyDescent="0.3">
      <c r="B71" s="70"/>
      <c r="C71" s="80"/>
      <c r="D71" s="80"/>
      <c r="E71" s="80"/>
      <c r="F71" s="80"/>
      <c r="G71" s="80"/>
      <c r="H71" s="80"/>
      <c r="I71" s="80"/>
      <c r="J71" s="80"/>
      <c r="K71" s="80"/>
      <c r="L71" s="80"/>
      <c r="M71" s="80"/>
      <c r="N71" s="80"/>
      <c r="O71" s="80"/>
      <c r="W71" s="59"/>
      <c r="X71" s="64"/>
      <c r="Y71" s="66"/>
      <c r="Z71" s="75"/>
    </row>
    <row r="72" spans="2:26" s="71" customFormat="1" outlineLevel="1" x14ac:dyDescent="0.3">
      <c r="B72" s="70"/>
      <c r="C72" s="80"/>
      <c r="D72" s="80"/>
      <c r="E72" s="80"/>
      <c r="F72" s="80"/>
      <c r="G72" s="80"/>
      <c r="H72" s="80"/>
      <c r="I72" s="80"/>
      <c r="J72" s="80"/>
      <c r="K72" s="80"/>
      <c r="L72" s="80"/>
      <c r="M72" s="80"/>
      <c r="N72" s="80"/>
      <c r="O72" s="80"/>
      <c r="P72" s="63"/>
      <c r="Q72" s="57"/>
      <c r="R72" s="248"/>
      <c r="S72" s="170"/>
      <c r="T72" s="170"/>
      <c r="U72" s="65"/>
      <c r="V72" s="59"/>
      <c r="W72" s="59"/>
      <c r="X72" s="64"/>
      <c r="Y72" s="66"/>
      <c r="Z72" s="75"/>
    </row>
    <row r="73" spans="2:26" s="71" customFormat="1" outlineLevel="1" x14ac:dyDescent="0.3">
      <c r="B73" s="70"/>
      <c r="C73" s="80"/>
      <c r="D73" s="80"/>
      <c r="E73" s="80"/>
      <c r="F73" s="80"/>
      <c r="G73" s="80"/>
      <c r="H73" s="80"/>
      <c r="I73" s="80"/>
      <c r="J73" s="80"/>
      <c r="K73" s="80"/>
      <c r="L73" s="80"/>
      <c r="M73" s="80"/>
      <c r="N73" s="80"/>
      <c r="O73" s="80"/>
      <c r="Q73" s="57"/>
      <c r="R73" s="248"/>
      <c r="S73" s="170"/>
      <c r="T73" s="170"/>
      <c r="U73" s="65"/>
      <c r="V73" s="59"/>
      <c r="W73" s="59"/>
      <c r="X73" s="64"/>
      <c r="Y73" s="66"/>
      <c r="Z73" s="75"/>
    </row>
    <row r="74" spans="2:26" s="71" customFormat="1" outlineLevel="1" x14ac:dyDescent="0.3">
      <c r="B74" s="70"/>
      <c r="C74" s="80"/>
      <c r="D74" s="80"/>
      <c r="E74" s="80"/>
      <c r="F74" s="80"/>
      <c r="G74" s="80"/>
      <c r="H74" s="80"/>
      <c r="I74" s="80"/>
      <c r="J74" s="80"/>
      <c r="K74" s="80"/>
      <c r="L74" s="80"/>
      <c r="M74" s="80"/>
      <c r="N74" s="80"/>
      <c r="O74" s="80"/>
      <c r="P74" s="252"/>
      <c r="Q74" s="57"/>
      <c r="R74" s="248"/>
      <c r="S74" s="170"/>
      <c r="T74" s="170"/>
      <c r="U74" s="59"/>
      <c r="V74" s="59"/>
      <c r="W74" s="59"/>
      <c r="X74" s="64"/>
      <c r="Y74" s="66"/>
      <c r="Z74" s="75"/>
    </row>
    <row r="75" spans="2:26" s="71" customFormat="1" outlineLevel="1" x14ac:dyDescent="0.3">
      <c r="B75" s="70"/>
      <c r="C75" s="80"/>
      <c r="D75" s="80"/>
      <c r="E75" s="80"/>
      <c r="F75" s="80"/>
      <c r="G75" s="80"/>
      <c r="H75" s="80"/>
      <c r="I75" s="80"/>
      <c r="J75" s="80"/>
      <c r="K75" s="80"/>
      <c r="L75" s="80"/>
      <c r="M75" s="80"/>
      <c r="N75" s="80"/>
      <c r="O75" s="80"/>
      <c r="P75" s="63"/>
      <c r="Q75" s="57"/>
      <c r="R75" s="248"/>
      <c r="S75" s="170"/>
      <c r="T75" s="170"/>
      <c r="U75" s="59"/>
      <c r="V75" s="59"/>
      <c r="W75" s="59"/>
      <c r="X75" s="64"/>
      <c r="Y75" s="66"/>
      <c r="Z75" s="75"/>
    </row>
    <row r="76" spans="2:26" s="71" customFormat="1" outlineLevel="1" x14ac:dyDescent="0.3">
      <c r="B76" s="70"/>
      <c r="C76" s="80">
        <v>3</v>
      </c>
      <c r="D76" s="80"/>
      <c r="E76" s="80"/>
      <c r="F76" s="80"/>
      <c r="G76" s="80"/>
      <c r="H76" s="80"/>
      <c r="I76" s="80"/>
      <c r="J76" s="80"/>
      <c r="K76" s="80"/>
      <c r="L76" s="80"/>
      <c r="M76" s="80"/>
      <c r="N76" s="80"/>
      <c r="O76" s="80"/>
      <c r="P76" s="63"/>
      <c r="Q76" s="57"/>
      <c r="R76" s="248"/>
      <c r="S76" s="170"/>
      <c r="T76" s="170"/>
      <c r="U76" s="59"/>
      <c r="V76" s="59"/>
      <c r="W76" s="59"/>
      <c r="X76" s="64"/>
      <c r="Y76" s="66"/>
      <c r="Z76" s="75"/>
    </row>
    <row r="77" spans="2:26" s="71" customFormat="1" outlineLevel="1" x14ac:dyDescent="0.3">
      <c r="B77" s="70"/>
      <c r="C77" s="80" t="s">
        <v>257</v>
      </c>
      <c r="D77" s="80"/>
      <c r="E77" s="80"/>
      <c r="F77" s="80"/>
      <c r="G77" s="80"/>
      <c r="H77" s="80"/>
      <c r="I77" s="80"/>
      <c r="J77" s="80"/>
      <c r="K77" s="80"/>
      <c r="L77" s="80"/>
      <c r="M77" s="80"/>
      <c r="N77" s="80"/>
      <c r="O77" s="80"/>
      <c r="P77" s="154" t="s">
        <v>258</v>
      </c>
      <c r="Q77" s="57"/>
      <c r="R77" s="248"/>
      <c r="S77" s="170"/>
      <c r="T77" s="170"/>
      <c r="U77" s="59"/>
      <c r="V77" s="59"/>
      <c r="W77" s="59"/>
      <c r="X77" s="64"/>
      <c r="Y77" s="66"/>
      <c r="Z77" s="75"/>
    </row>
    <row r="78" spans="2:26" s="71" customFormat="1" outlineLevel="2" x14ac:dyDescent="0.3">
      <c r="B78" s="70"/>
      <c r="C78" s="172"/>
      <c r="D78" s="172"/>
      <c r="E78" s="172"/>
      <c r="F78" s="172"/>
      <c r="G78" s="172"/>
      <c r="H78" s="172"/>
      <c r="I78" s="172"/>
      <c r="J78" s="172"/>
      <c r="K78" s="172"/>
      <c r="L78" s="172"/>
      <c r="M78" s="172"/>
      <c r="N78" s="172"/>
      <c r="O78" s="172"/>
      <c r="P78" s="173"/>
      <c r="Q78" s="249"/>
      <c r="R78" s="249"/>
      <c r="S78" s="174"/>
      <c r="T78" s="174"/>
      <c r="U78" s="150"/>
      <c r="V78" s="151"/>
      <c r="W78" s="151"/>
      <c r="Y78" s="152"/>
      <c r="Z78" s="75"/>
    </row>
    <row r="79" spans="2:26" s="71" customFormat="1" outlineLevel="2" x14ac:dyDescent="0.3">
      <c r="B79" s="70"/>
      <c r="C79" s="172"/>
      <c r="D79" s="172"/>
      <c r="E79" s="172"/>
      <c r="F79" s="172"/>
      <c r="G79" s="172"/>
      <c r="H79" s="172"/>
      <c r="I79" s="172"/>
      <c r="J79" s="172"/>
      <c r="K79" s="172"/>
      <c r="L79" s="172"/>
      <c r="M79" s="172"/>
      <c r="N79" s="172"/>
      <c r="O79" s="172"/>
      <c r="P79" s="173"/>
      <c r="Q79" s="249"/>
      <c r="R79" s="249"/>
      <c r="S79" s="174"/>
      <c r="T79" s="174"/>
      <c r="U79" s="150"/>
      <c r="V79" s="151"/>
      <c r="W79" s="151"/>
      <c r="Y79" s="152"/>
      <c r="Z79" s="75"/>
    </row>
    <row r="80" spans="2:26" s="71" customFormat="1" outlineLevel="1" x14ac:dyDescent="0.3">
      <c r="B80" s="70"/>
      <c r="C80" s="221"/>
      <c r="D80" s="221"/>
      <c r="E80" s="221"/>
      <c r="F80" s="221"/>
      <c r="G80" s="221"/>
      <c r="H80" s="221"/>
      <c r="I80" s="221"/>
      <c r="J80" s="221"/>
      <c r="K80" s="221"/>
      <c r="L80" s="221"/>
      <c r="M80" s="221"/>
      <c r="N80" s="221"/>
      <c r="O80" s="221"/>
      <c r="P80" s="221" t="s">
        <v>259</v>
      </c>
      <c r="Q80" s="221"/>
      <c r="R80" s="221"/>
      <c r="S80" s="171">
        <f>SUM(S38:S77)</f>
        <v>4</v>
      </c>
      <c r="T80" s="171"/>
      <c r="U80" s="150"/>
      <c r="V80" s="151"/>
      <c r="W80" s="151"/>
      <c r="Y80" s="152"/>
      <c r="Z80" s="75"/>
    </row>
    <row r="81" spans="2:26" x14ac:dyDescent="0.3">
      <c r="B81" s="27"/>
      <c r="C81" s="44"/>
      <c r="D81" s="44"/>
      <c r="E81" s="44"/>
      <c r="F81" s="44"/>
      <c r="G81" s="44"/>
      <c r="H81" s="44"/>
      <c r="I81" s="44"/>
      <c r="J81" s="44"/>
      <c r="K81" s="44"/>
      <c r="L81" s="44"/>
      <c r="M81" s="44"/>
      <c r="N81" s="44"/>
      <c r="O81" s="44"/>
      <c r="P81" s="35"/>
      <c r="Q81" s="36"/>
      <c r="R81" s="36"/>
      <c r="S81" s="37"/>
      <c r="T81" s="37"/>
      <c r="U81" s="23"/>
      <c r="V81" s="38"/>
      <c r="W81" s="38"/>
      <c r="X81" s="23"/>
      <c r="Y81" s="43"/>
      <c r="Z81" s="29"/>
    </row>
    <row r="82" spans="2:26" x14ac:dyDescent="0.3">
      <c r="B82" s="27"/>
      <c r="Z82" s="29"/>
    </row>
    <row r="83" spans="2:26" s="71" customFormat="1" ht="15.6" x14ac:dyDescent="0.3">
      <c r="B83" s="70"/>
      <c r="P83" s="72" t="s">
        <v>274</v>
      </c>
      <c r="Q83" s="73"/>
      <c r="R83" s="73"/>
      <c r="S83" s="73"/>
      <c r="T83" s="73"/>
      <c r="U83" s="73"/>
      <c r="V83" s="73"/>
      <c r="W83" s="73"/>
      <c r="X83" s="73"/>
      <c r="Y83" s="74"/>
      <c r="Z83" s="75"/>
    </row>
    <row r="84" spans="2:26" s="71" customFormat="1" x14ac:dyDescent="0.3">
      <c r="B84" s="70"/>
      <c r="P84" s="424"/>
      <c r="Q84" s="425"/>
      <c r="R84" s="425"/>
      <c r="S84" s="425"/>
      <c r="T84" s="425"/>
      <c r="U84" s="425"/>
      <c r="V84" s="425"/>
      <c r="W84" s="425"/>
      <c r="X84" s="425"/>
      <c r="Y84" s="426"/>
      <c r="Z84" s="75"/>
    </row>
    <row r="85" spans="2:26" s="71" customFormat="1" x14ac:dyDescent="0.3">
      <c r="B85" s="70"/>
      <c r="P85" s="424"/>
      <c r="Q85" s="425"/>
      <c r="R85" s="425"/>
      <c r="S85" s="425"/>
      <c r="T85" s="425"/>
      <c r="U85" s="425"/>
      <c r="V85" s="425"/>
      <c r="W85" s="425"/>
      <c r="X85" s="425"/>
      <c r="Y85" s="426"/>
      <c r="Z85" s="75"/>
    </row>
    <row r="86" spans="2:26" s="71" customFormat="1" x14ac:dyDescent="0.3">
      <c r="B86" s="70"/>
      <c r="P86" s="424"/>
      <c r="Q86" s="425"/>
      <c r="R86" s="425"/>
      <c r="S86" s="425"/>
      <c r="T86" s="425"/>
      <c r="U86" s="425"/>
      <c r="V86" s="425"/>
      <c r="W86" s="425"/>
      <c r="X86" s="425"/>
      <c r="Y86" s="426"/>
      <c r="Z86" s="75"/>
    </row>
    <row r="87" spans="2:26" s="71" customFormat="1" x14ac:dyDescent="0.3">
      <c r="B87" s="70"/>
      <c r="P87" s="424"/>
      <c r="Q87" s="425"/>
      <c r="R87" s="425"/>
      <c r="S87" s="425"/>
      <c r="T87" s="425"/>
      <c r="U87" s="425"/>
      <c r="V87" s="425"/>
      <c r="W87" s="425"/>
      <c r="X87" s="425"/>
      <c r="Y87" s="426"/>
      <c r="Z87" s="75"/>
    </row>
    <row r="88" spans="2:26" s="71" customFormat="1" x14ac:dyDescent="0.3">
      <c r="B88" s="70"/>
      <c r="P88" s="424"/>
      <c r="Q88" s="425"/>
      <c r="R88" s="425"/>
      <c r="S88" s="425"/>
      <c r="T88" s="425"/>
      <c r="U88" s="425"/>
      <c r="V88" s="425"/>
      <c r="W88" s="425"/>
      <c r="X88" s="425"/>
      <c r="Y88" s="426"/>
      <c r="Z88" s="75"/>
    </row>
    <row r="89" spans="2:26" s="71" customFormat="1" x14ac:dyDescent="0.3">
      <c r="B89" s="70"/>
      <c r="P89" s="421"/>
      <c r="Q89" s="422"/>
      <c r="R89" s="422"/>
      <c r="S89" s="422"/>
      <c r="T89" s="422"/>
      <c r="U89" s="422"/>
      <c r="V89" s="422"/>
      <c r="W89" s="422"/>
      <c r="X89" s="422"/>
      <c r="Y89" s="423"/>
      <c r="Z89" s="75"/>
    </row>
    <row r="90" spans="2:26" x14ac:dyDescent="0.3">
      <c r="B90" s="27"/>
      <c r="Z90" s="29"/>
    </row>
    <row r="91" spans="2:26" x14ac:dyDescent="0.3">
      <c r="B91" s="27"/>
      <c r="Z91" s="29"/>
    </row>
    <row r="92" spans="2:26" x14ac:dyDescent="0.3">
      <c r="B92" s="27"/>
      <c r="Z92" s="29"/>
    </row>
    <row r="93" spans="2:26" x14ac:dyDescent="0.3">
      <c r="B93" s="27"/>
      <c r="Z93" s="29"/>
    </row>
    <row r="94" spans="2:26" x14ac:dyDescent="0.3">
      <c r="B94" s="27"/>
      <c r="Z94" s="29"/>
    </row>
    <row r="95" spans="2:26" x14ac:dyDescent="0.3">
      <c r="B95" s="27"/>
      <c r="Z95" s="29"/>
    </row>
    <row r="96" spans="2:26" ht="14.4" thickBot="1" x14ac:dyDescent="0.35">
      <c r="B96" s="31"/>
      <c r="C96" s="32"/>
      <c r="D96" s="32"/>
      <c r="E96" s="32"/>
      <c r="F96" s="32"/>
      <c r="G96" s="32"/>
      <c r="H96" s="32"/>
      <c r="I96" s="32"/>
      <c r="J96" s="32"/>
      <c r="K96" s="32"/>
      <c r="L96" s="32"/>
      <c r="M96" s="32"/>
      <c r="N96" s="32"/>
      <c r="O96" s="32"/>
      <c r="P96" s="32"/>
      <c r="Q96" s="32"/>
      <c r="R96" s="32"/>
      <c r="S96" s="32"/>
      <c r="T96" s="32"/>
      <c r="U96" s="32"/>
      <c r="V96" s="32"/>
      <c r="W96" s="32"/>
      <c r="X96" s="32"/>
      <c r="Y96" s="32"/>
      <c r="Z96" s="33"/>
    </row>
    <row r="97" ht="14.4" thickTop="1" x14ac:dyDescent="0.3"/>
  </sheetData>
  <sheetProtection password="96E1" sheet="1" insertRows="0" deleteRows="0" selectLockedCells="1"/>
  <mergeCells count="16">
    <mergeCell ref="C7:Y7"/>
    <mergeCell ref="C17:Y17"/>
    <mergeCell ref="Q13:S13"/>
    <mergeCell ref="P35:Y35"/>
    <mergeCell ref="P58:Y58"/>
    <mergeCell ref="C9:Y9"/>
    <mergeCell ref="Q11:Y11"/>
    <mergeCell ref="Q12:Y12"/>
    <mergeCell ref="R36:T36"/>
    <mergeCell ref="U36:V36"/>
    <mergeCell ref="P89:Y89"/>
    <mergeCell ref="P84:Y84"/>
    <mergeCell ref="P85:Y85"/>
    <mergeCell ref="P86:Y86"/>
    <mergeCell ref="P87:Y87"/>
    <mergeCell ref="P88:Y88"/>
  </mergeCells>
  <phoneticPr fontId="29" type="noConversion"/>
  <conditionalFormatting sqref="P78:Y79">
    <cfRule type="expression" dxfId="4" priority="26" stopIfTrue="1">
      <formula>$O78="Apaga"</formula>
    </cfRule>
  </conditionalFormatting>
  <conditionalFormatting sqref="Q31">
    <cfRule type="expression" dxfId="3" priority="8" stopIfTrue="1">
      <formula>$O31="Apaga"</formula>
    </cfRule>
  </conditionalFormatting>
  <conditionalFormatting sqref="Q55">
    <cfRule type="expression" dxfId="2" priority="3" stopIfTrue="1">
      <formula>$O55="Apaga"</formula>
    </cfRule>
  </conditionalFormatting>
  <conditionalFormatting sqref="U55">
    <cfRule type="expression" dxfId="1" priority="2" stopIfTrue="1">
      <formula>$O55="Apaga"</formula>
    </cfRule>
  </conditionalFormatting>
  <conditionalFormatting sqref="X55">
    <cfRule type="expression" dxfId="0" priority="1" stopIfTrue="1">
      <formula>$O55="Apaga"</formula>
    </cfRule>
  </conditionalFormatting>
  <dataValidations count="1">
    <dataValidation type="list" allowBlank="1" showInputMessage="1" showErrorMessage="1" sqref="W60:W77 W38:W55 W19:W31"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J28"/>
  <sheetViews>
    <sheetView zoomScale="124" workbookViewId="0">
      <selection activeCell="C9" sqref="C9"/>
    </sheetView>
  </sheetViews>
  <sheetFormatPr baseColWidth="10" defaultColWidth="44.44140625" defaultRowHeight="13.8" x14ac:dyDescent="0.3"/>
  <cols>
    <col min="1" max="1" width="2.109375" style="20" customWidth="1"/>
    <col min="2" max="2" width="4" style="20" customWidth="1"/>
    <col min="3" max="3" width="44.44140625" style="20" customWidth="1"/>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bestFit="1"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39" t="s">
        <v>227</v>
      </c>
      <c r="D2" s="439"/>
      <c r="E2" s="439"/>
      <c r="F2" s="439"/>
      <c r="G2" s="439"/>
      <c r="H2" s="439"/>
      <c r="I2" s="439"/>
      <c r="J2" s="439"/>
    </row>
    <row r="3" spans="2:10" ht="25.5" customHeight="1" x14ac:dyDescent="0.3">
      <c r="C3" s="439"/>
      <c r="D3" s="439"/>
      <c r="E3" s="439"/>
      <c r="F3" s="439"/>
      <c r="G3" s="439"/>
      <c r="H3" s="439"/>
      <c r="I3" s="439"/>
      <c r="J3" s="439"/>
    </row>
    <row r="4" spans="2:10" s="23" customFormat="1" ht="12.75" customHeight="1" x14ac:dyDescent="0.3"/>
    <row r="5" spans="2:10" ht="18" customHeight="1" x14ac:dyDescent="0.35">
      <c r="B5" s="440" t="s">
        <v>275</v>
      </c>
      <c r="C5" s="441"/>
      <c r="D5" s="441"/>
      <c r="E5" s="441"/>
      <c r="F5" s="441"/>
      <c r="G5" s="441"/>
      <c r="H5" s="441"/>
      <c r="I5" s="441"/>
      <c r="J5" s="441"/>
    </row>
    <row r="6" spans="2:10" s="23" customFormat="1" x14ac:dyDescent="0.3"/>
    <row r="7" spans="2:10" s="21" customFormat="1" ht="31.5" customHeight="1" x14ac:dyDescent="0.3">
      <c r="B7" s="49"/>
      <c r="C7" s="269" t="s">
        <v>246</v>
      </c>
      <c r="D7" s="269" t="s">
        <v>276</v>
      </c>
      <c r="E7" s="269" t="s">
        <v>248</v>
      </c>
      <c r="F7" s="269" t="s">
        <v>264</v>
      </c>
      <c r="G7" s="269" t="s">
        <v>254</v>
      </c>
      <c r="H7" s="269" t="s">
        <v>251</v>
      </c>
      <c r="I7" s="269" t="s">
        <v>252</v>
      </c>
      <c r="J7" s="269" t="s">
        <v>255</v>
      </c>
    </row>
    <row r="8" spans="2:10" s="71" customFormat="1" x14ac:dyDescent="0.3">
      <c r="B8" s="105">
        <v>1</v>
      </c>
      <c r="C8" s="252"/>
      <c r="D8" s="57"/>
      <c r="E8" s="57"/>
      <c r="F8" s="170"/>
      <c r="G8" s="59"/>
      <c r="H8" s="62"/>
      <c r="I8" s="59"/>
      <c r="J8" s="60"/>
    </row>
    <row r="9" spans="2:10" s="71" customFormat="1" x14ac:dyDescent="0.3">
      <c r="B9" s="105">
        <v>3</v>
      </c>
      <c r="C9" s="61"/>
      <c r="D9" s="57"/>
      <c r="E9" s="57"/>
      <c r="F9" s="170"/>
      <c r="G9" s="170"/>
      <c r="H9" s="62"/>
      <c r="I9" s="62"/>
      <c r="J9" s="62"/>
    </row>
    <row r="10" spans="2:10" s="71" customFormat="1" x14ac:dyDescent="0.3">
      <c r="B10" s="106">
        <v>4</v>
      </c>
      <c r="C10" s="61"/>
      <c r="D10" s="57"/>
      <c r="E10" s="57"/>
      <c r="F10" s="170"/>
      <c r="G10" s="62"/>
      <c r="H10" s="62"/>
      <c r="I10" s="62"/>
      <c r="J10" s="62"/>
    </row>
    <row r="11" spans="2:10" s="71" customFormat="1" x14ac:dyDescent="0.3">
      <c r="B11" s="105">
        <v>5</v>
      </c>
      <c r="C11" s="63"/>
      <c r="D11" s="57"/>
      <c r="E11" s="248"/>
      <c r="F11" s="170"/>
      <c r="G11" s="62"/>
      <c r="H11" s="62"/>
      <c r="I11" s="62"/>
      <c r="J11" s="62"/>
    </row>
    <row r="12" spans="2:10" s="71" customFormat="1" x14ac:dyDescent="0.3">
      <c r="B12" s="106">
        <v>6</v>
      </c>
      <c r="C12" s="252"/>
      <c r="D12" s="57"/>
      <c r="E12" s="248"/>
      <c r="F12" s="170"/>
      <c r="G12" s="62"/>
      <c r="H12" s="62"/>
      <c r="I12" s="62"/>
      <c r="J12" s="62"/>
    </row>
    <row r="13" spans="2:10" s="71" customFormat="1" x14ac:dyDescent="0.3">
      <c r="B13" s="105">
        <v>7</v>
      </c>
      <c r="C13" s="63"/>
      <c r="D13" s="57"/>
      <c r="E13" s="248"/>
      <c r="F13" s="170"/>
      <c r="G13" s="62"/>
      <c r="H13" s="62"/>
      <c r="I13" s="62"/>
      <c r="J13" s="62"/>
    </row>
    <row r="14" spans="2:10" s="71" customFormat="1" x14ac:dyDescent="0.3">
      <c r="B14" s="106">
        <v>8</v>
      </c>
      <c r="C14" s="63"/>
      <c r="D14" s="57"/>
      <c r="E14" s="248"/>
      <c r="F14" s="170"/>
      <c r="G14" s="62"/>
      <c r="H14" s="62"/>
      <c r="I14" s="62"/>
      <c r="J14" s="62"/>
    </row>
    <row r="15" spans="2:10" s="71" customFormat="1" x14ac:dyDescent="0.3">
      <c r="B15" s="105">
        <v>9</v>
      </c>
      <c r="C15" s="63"/>
      <c r="D15" s="57"/>
      <c r="E15" s="248"/>
      <c r="F15" s="170"/>
      <c r="G15" s="62"/>
      <c r="H15" s="62"/>
      <c r="I15" s="62"/>
      <c r="J15" s="62"/>
    </row>
    <row r="16" spans="2:10" s="71" customFormat="1" x14ac:dyDescent="0.3">
      <c r="B16" s="106">
        <v>10</v>
      </c>
      <c r="C16" s="63"/>
      <c r="D16" s="57"/>
      <c r="E16" s="248"/>
      <c r="F16" s="170"/>
      <c r="G16" s="62"/>
      <c r="H16" s="62"/>
      <c r="I16" s="62"/>
      <c r="J16" s="62"/>
    </row>
    <row r="17" spans="2:10" s="71" customFormat="1" x14ac:dyDescent="0.3">
      <c r="B17" s="105">
        <v>11</v>
      </c>
      <c r="C17" s="63"/>
      <c r="D17" s="57"/>
      <c r="E17" s="248"/>
      <c r="F17" s="170"/>
      <c r="G17" s="62"/>
      <c r="H17" s="62"/>
      <c r="I17" s="62"/>
      <c r="J17" s="62"/>
    </row>
    <row r="18" spans="2:10" s="71" customFormat="1" x14ac:dyDescent="0.3">
      <c r="B18" s="106">
        <v>12</v>
      </c>
      <c r="C18" s="63"/>
      <c r="D18" s="57"/>
      <c r="E18" s="248"/>
      <c r="F18" s="170"/>
      <c r="G18" s="62"/>
      <c r="H18" s="62"/>
      <c r="I18" s="62"/>
      <c r="J18" s="62"/>
    </row>
    <row r="19" spans="2:10" s="71" customFormat="1" x14ac:dyDescent="0.3">
      <c r="B19" s="105">
        <v>13</v>
      </c>
      <c r="C19" s="61"/>
      <c r="D19" s="62"/>
      <c r="E19" s="65"/>
      <c r="F19" s="64"/>
      <c r="G19" s="62"/>
      <c r="H19" s="62"/>
      <c r="I19" s="62"/>
      <c r="J19" s="62"/>
    </row>
    <row r="20" spans="2:10" ht="12.75" customHeight="1" x14ac:dyDescent="0.3">
      <c r="B20" s="442" t="s">
        <v>259</v>
      </c>
      <c r="C20" s="443"/>
      <c r="D20" s="443"/>
      <c r="E20" s="443"/>
      <c r="F20" s="261">
        <f>SUM(F8:F19)</f>
        <v>0</v>
      </c>
      <c r="G20" s="71"/>
      <c r="H20" s="71"/>
      <c r="I20" s="71"/>
      <c r="J20" s="71"/>
    </row>
    <row r="22" spans="2:10" s="71" customFormat="1" ht="15.6" x14ac:dyDescent="0.3">
      <c r="B22" s="72" t="s">
        <v>277</v>
      </c>
      <c r="C22" s="73"/>
      <c r="D22" s="73"/>
      <c r="E22" s="73"/>
      <c r="F22" s="73"/>
      <c r="G22" s="73"/>
      <c r="H22" s="73"/>
      <c r="I22" s="74"/>
    </row>
    <row r="23" spans="2:10" s="71" customFormat="1" x14ac:dyDescent="0.3">
      <c r="B23" s="424"/>
      <c r="C23" s="425"/>
      <c r="D23" s="425"/>
      <c r="E23" s="425"/>
      <c r="F23" s="425"/>
      <c r="G23" s="425"/>
      <c r="H23" s="425"/>
      <c r="I23" s="426"/>
    </row>
    <row r="24" spans="2:10" s="71" customFormat="1" x14ac:dyDescent="0.3">
      <c r="B24" s="424"/>
      <c r="C24" s="425"/>
      <c r="D24" s="425"/>
      <c r="E24" s="425"/>
      <c r="F24" s="425"/>
      <c r="G24" s="425"/>
      <c r="H24" s="425"/>
      <c r="I24" s="426"/>
    </row>
    <row r="25" spans="2:10" s="71" customFormat="1" x14ac:dyDescent="0.3">
      <c r="B25" s="424"/>
      <c r="C25" s="425"/>
      <c r="D25" s="425"/>
      <c r="E25" s="425"/>
      <c r="F25" s="425"/>
      <c r="G25" s="425"/>
      <c r="H25" s="425"/>
      <c r="I25" s="426"/>
    </row>
    <row r="26" spans="2:10" s="71" customFormat="1" x14ac:dyDescent="0.3">
      <c r="B26" s="424"/>
      <c r="C26" s="425"/>
      <c r="D26" s="425"/>
      <c r="E26" s="425"/>
      <c r="F26" s="425"/>
      <c r="G26" s="425"/>
      <c r="H26" s="425"/>
      <c r="I26" s="426"/>
    </row>
    <row r="27" spans="2:10" s="71" customFormat="1" x14ac:dyDescent="0.3">
      <c r="B27" s="424"/>
      <c r="C27" s="425"/>
      <c r="D27" s="425"/>
      <c r="E27" s="425"/>
      <c r="F27" s="425"/>
      <c r="G27" s="425"/>
      <c r="H27" s="425"/>
      <c r="I27" s="426"/>
    </row>
    <row r="28" spans="2:10" s="71" customFormat="1" x14ac:dyDescent="0.3">
      <c r="B28" s="421"/>
      <c r="C28" s="422"/>
      <c r="D28" s="422"/>
      <c r="E28" s="422"/>
      <c r="F28" s="422"/>
      <c r="G28" s="422"/>
      <c r="H28" s="422"/>
      <c r="I28" s="423"/>
    </row>
  </sheetData>
  <sheetProtection password="96E1" sheet="1" insertRows="0" deleteRows="0" selectLockedCells="1"/>
  <mergeCells count="9">
    <mergeCell ref="B26:I26"/>
    <mergeCell ref="B27:I27"/>
    <mergeCell ref="B28:I28"/>
    <mergeCell ref="C2:J3"/>
    <mergeCell ref="B5:J5"/>
    <mergeCell ref="B20:E20"/>
    <mergeCell ref="B23:I23"/>
    <mergeCell ref="B24:I24"/>
    <mergeCell ref="B25:I25"/>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J28"/>
  <sheetViews>
    <sheetView zoomScale="135" workbookViewId="0">
      <selection activeCell="D8" sqref="D8"/>
    </sheetView>
  </sheetViews>
  <sheetFormatPr baseColWidth="10" defaultColWidth="44.44140625" defaultRowHeight="13.8" x14ac:dyDescent="0.3"/>
  <cols>
    <col min="1" max="1" width="2.109375" style="20" customWidth="1"/>
    <col min="2" max="2" width="4" style="20" customWidth="1"/>
    <col min="3" max="3" width="44.44140625" style="20"/>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46" t="s">
        <v>227</v>
      </c>
      <c r="D2" s="446"/>
      <c r="E2" s="446"/>
      <c r="F2" s="446"/>
      <c r="G2" s="446"/>
      <c r="H2" s="446"/>
      <c r="I2" s="446"/>
      <c r="J2" s="446"/>
    </row>
    <row r="3" spans="2:10" ht="25.5" customHeight="1" x14ac:dyDescent="0.3">
      <c r="C3" s="446"/>
      <c r="D3" s="446"/>
      <c r="E3" s="446"/>
      <c r="F3" s="446"/>
      <c r="G3" s="446"/>
      <c r="H3" s="446"/>
      <c r="I3" s="446"/>
      <c r="J3" s="446"/>
    </row>
    <row r="4" spans="2:10" s="259" customFormat="1" ht="12.75" customHeight="1" x14ac:dyDescent="0.3"/>
    <row r="5" spans="2:10" ht="18" customHeight="1" x14ac:dyDescent="0.35">
      <c r="B5" s="440" t="s">
        <v>275</v>
      </c>
      <c r="C5" s="440"/>
      <c r="D5" s="440"/>
      <c r="E5" s="440"/>
      <c r="F5" s="440"/>
      <c r="G5" s="440"/>
      <c r="H5" s="440"/>
      <c r="I5" s="440"/>
      <c r="J5" s="440"/>
    </row>
    <row r="6" spans="2:10" s="259" customFormat="1" x14ac:dyDescent="0.3"/>
    <row r="7" spans="2:10" s="21" customFormat="1" ht="31.5" customHeight="1" x14ac:dyDescent="0.3">
      <c r="B7" s="258"/>
      <c r="C7" s="257" t="s">
        <v>246</v>
      </c>
      <c r="D7" s="257" t="s">
        <v>276</v>
      </c>
      <c r="E7" s="257" t="s">
        <v>248</v>
      </c>
      <c r="F7" s="257" t="s">
        <v>264</v>
      </c>
      <c r="G7" s="257" t="s">
        <v>254</v>
      </c>
      <c r="H7" s="257" t="s">
        <v>251</v>
      </c>
      <c r="I7" s="257" t="s">
        <v>252</v>
      </c>
      <c r="J7" s="257" t="s">
        <v>255</v>
      </c>
    </row>
    <row r="8" spans="2:10" s="71" customFormat="1" x14ac:dyDescent="0.3">
      <c r="B8" s="105">
        <v>1</v>
      </c>
      <c r="C8" s="252" t="s">
        <v>301</v>
      </c>
      <c r="D8" s="57">
        <v>45063.854166666664</v>
      </c>
      <c r="E8" s="57">
        <f>+D8+F8/24+G8/24</f>
        <v>45063.895833333328</v>
      </c>
      <c r="F8" s="170">
        <v>1</v>
      </c>
      <c r="G8" s="59"/>
      <c r="H8" s="59"/>
      <c r="I8" s="59"/>
      <c r="J8" s="60"/>
    </row>
    <row r="9" spans="2:10" s="71" customFormat="1" x14ac:dyDescent="0.3">
      <c r="B9" s="106">
        <v>2</v>
      </c>
      <c r="C9" s="61"/>
      <c r="D9" s="57"/>
      <c r="E9" s="57"/>
      <c r="F9" s="58"/>
      <c r="G9" s="59"/>
      <c r="H9" s="62"/>
      <c r="I9" s="59"/>
      <c r="J9" s="62"/>
    </row>
    <row r="10" spans="2:10" s="71" customFormat="1" x14ac:dyDescent="0.3">
      <c r="B10" s="106">
        <v>3</v>
      </c>
      <c r="C10" s="61"/>
      <c r="D10" s="57"/>
      <c r="E10" s="57"/>
      <c r="F10" s="58"/>
      <c r="G10" s="59"/>
      <c r="H10" s="62"/>
      <c r="I10" s="59"/>
      <c r="J10" s="62"/>
    </row>
    <row r="11" spans="2:10" s="71" customFormat="1" x14ac:dyDescent="0.3">
      <c r="B11" s="106">
        <v>4</v>
      </c>
      <c r="C11" s="61"/>
      <c r="D11" s="57"/>
      <c r="E11" s="57"/>
      <c r="F11" s="58"/>
      <c r="G11" s="59"/>
      <c r="H11" s="62"/>
      <c r="I11" s="59"/>
      <c r="J11" s="62"/>
    </row>
    <row r="12" spans="2:10" s="71" customFormat="1" x14ac:dyDescent="0.3">
      <c r="B12" s="106">
        <v>5</v>
      </c>
      <c r="C12" s="61"/>
      <c r="D12" s="62"/>
      <c r="E12" s="65"/>
      <c r="F12" s="64"/>
      <c r="G12" s="62"/>
      <c r="H12" s="62"/>
      <c r="I12" s="62"/>
      <c r="J12" s="62"/>
    </row>
    <row r="13" spans="2:10" s="71" customFormat="1" x14ac:dyDescent="0.3">
      <c r="B13" s="106">
        <v>6</v>
      </c>
      <c r="C13" s="61"/>
      <c r="D13" s="62"/>
      <c r="E13" s="65"/>
      <c r="F13" s="64"/>
      <c r="G13" s="62"/>
      <c r="H13" s="62"/>
      <c r="I13" s="62"/>
      <c r="J13" s="62"/>
    </row>
    <row r="14" spans="2:10" s="71" customFormat="1" x14ac:dyDescent="0.3">
      <c r="B14" s="106">
        <v>7</v>
      </c>
      <c r="C14" s="61"/>
      <c r="D14" s="62"/>
      <c r="E14" s="65"/>
      <c r="F14" s="64"/>
      <c r="G14" s="62"/>
      <c r="H14" s="62"/>
      <c r="I14" s="62"/>
      <c r="J14" s="62"/>
    </row>
    <row r="15" spans="2:10" s="71" customFormat="1" x14ac:dyDescent="0.3">
      <c r="B15" s="106">
        <v>8</v>
      </c>
      <c r="C15" s="61"/>
      <c r="D15" s="62"/>
      <c r="E15" s="65"/>
      <c r="F15" s="64"/>
      <c r="G15" s="62"/>
      <c r="H15" s="62"/>
      <c r="I15" s="62"/>
      <c r="J15" s="62"/>
    </row>
    <row r="16" spans="2:10" s="71" customFormat="1" x14ac:dyDescent="0.3">
      <c r="B16" s="106">
        <v>9</v>
      </c>
      <c r="C16" s="61"/>
      <c r="D16" s="62"/>
      <c r="E16" s="65"/>
      <c r="F16" s="64"/>
      <c r="G16" s="62"/>
      <c r="H16" s="62"/>
      <c r="I16" s="62"/>
      <c r="J16" s="62"/>
    </row>
    <row r="17" spans="2:10" s="71" customFormat="1" x14ac:dyDescent="0.3">
      <c r="B17" s="106">
        <v>10</v>
      </c>
      <c r="C17" s="61"/>
      <c r="D17" s="62"/>
      <c r="E17" s="65"/>
      <c r="F17" s="64"/>
      <c r="G17" s="62"/>
      <c r="H17" s="62"/>
      <c r="I17" s="62"/>
      <c r="J17" s="62"/>
    </row>
    <row r="18" spans="2:10" s="71" customFormat="1" x14ac:dyDescent="0.3">
      <c r="B18" s="106">
        <v>11</v>
      </c>
      <c r="C18" s="61"/>
      <c r="D18" s="62"/>
      <c r="E18" s="65"/>
      <c r="F18" s="64"/>
      <c r="G18" s="62"/>
      <c r="H18" s="62"/>
      <c r="I18" s="62"/>
      <c r="J18" s="62"/>
    </row>
    <row r="19" spans="2:10" s="71" customFormat="1" x14ac:dyDescent="0.3">
      <c r="B19" s="106">
        <v>12</v>
      </c>
      <c r="C19" s="61"/>
      <c r="D19" s="62"/>
      <c r="E19" s="65"/>
      <c r="F19" s="64"/>
      <c r="G19" s="62"/>
      <c r="H19" s="62"/>
      <c r="I19" s="62"/>
      <c r="J19" s="62"/>
    </row>
    <row r="20" spans="2:10" ht="12.75" customHeight="1" x14ac:dyDescent="0.3">
      <c r="B20" s="447" t="s">
        <v>259</v>
      </c>
      <c r="C20" s="447"/>
      <c r="D20" s="447"/>
      <c r="E20" s="447"/>
      <c r="F20" s="256">
        <f>SUM(F8:F19)</f>
        <v>1</v>
      </c>
      <c r="G20" s="71"/>
      <c r="H20" s="71"/>
      <c r="I20" s="71"/>
      <c r="J20" s="71"/>
    </row>
    <row r="22" spans="2:10" s="71" customFormat="1" ht="15.6" x14ac:dyDescent="0.3">
      <c r="B22" s="255" t="s">
        <v>277</v>
      </c>
      <c r="C22" s="254"/>
      <c r="D22" s="254"/>
      <c r="E22" s="254"/>
      <c r="F22" s="254"/>
      <c r="G22" s="254"/>
      <c r="H22" s="254"/>
      <c r="I22" s="253"/>
    </row>
    <row r="23" spans="2:10" s="71" customFormat="1" x14ac:dyDescent="0.3">
      <c r="B23" s="444"/>
      <c r="C23" s="444"/>
      <c r="D23" s="444"/>
      <c r="E23" s="444"/>
      <c r="F23" s="444"/>
      <c r="G23" s="444"/>
      <c r="H23" s="444"/>
      <c r="I23" s="444"/>
    </row>
    <row r="24" spans="2:10" s="71" customFormat="1" x14ac:dyDescent="0.3">
      <c r="B24" s="444"/>
      <c r="C24" s="444"/>
      <c r="D24" s="444"/>
      <c r="E24" s="444"/>
      <c r="F24" s="444"/>
      <c r="G24" s="444"/>
      <c r="H24" s="444"/>
      <c r="I24" s="444"/>
    </row>
    <row r="25" spans="2:10" s="71" customFormat="1" x14ac:dyDescent="0.3">
      <c r="B25" s="444"/>
      <c r="C25" s="444"/>
      <c r="D25" s="444"/>
      <c r="E25" s="444"/>
      <c r="F25" s="444"/>
      <c r="G25" s="444"/>
      <c r="H25" s="444"/>
      <c r="I25" s="444"/>
    </row>
    <row r="26" spans="2:10" s="71" customFormat="1" x14ac:dyDescent="0.3">
      <c r="B26" s="444"/>
      <c r="C26" s="444"/>
      <c r="D26" s="444"/>
      <c r="E26" s="444"/>
      <c r="F26" s="444"/>
      <c r="G26" s="444"/>
      <c r="H26" s="444"/>
      <c r="I26" s="444"/>
    </row>
    <row r="27" spans="2:10" s="71" customFormat="1" x14ac:dyDescent="0.3">
      <c r="B27" s="444"/>
      <c r="C27" s="444"/>
      <c r="D27" s="444"/>
      <c r="E27" s="444"/>
      <c r="F27" s="444"/>
      <c r="G27" s="444"/>
      <c r="H27" s="444"/>
      <c r="I27" s="444"/>
    </row>
    <row r="28" spans="2:10" s="71" customFormat="1" x14ac:dyDescent="0.3">
      <c r="B28" s="445"/>
      <c r="C28" s="445"/>
      <c r="D28" s="445"/>
      <c r="E28" s="445"/>
      <c r="F28" s="445"/>
      <c r="G28" s="445"/>
      <c r="H28" s="445"/>
      <c r="I28" s="445"/>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D3" sqref="D3"/>
    </sheetView>
  </sheetViews>
  <sheetFormatPr baseColWidth="10" defaultColWidth="8.88671875" defaultRowHeight="14.4" x14ac:dyDescent="0.3"/>
  <cols>
    <col min="1" max="1" width="30.44140625" customWidth="1"/>
    <col min="2" max="2" width="15.44140625" customWidth="1"/>
    <col min="3" max="3" width="20" customWidth="1"/>
    <col min="4" max="4" width="19.88671875" customWidth="1"/>
    <col min="5" max="5" width="25.88671875" customWidth="1"/>
    <col min="6" max="6" width="18" customWidth="1"/>
  </cols>
  <sheetData>
    <row r="1" spans="1:7" ht="36" x14ac:dyDescent="0.3">
      <c r="A1" s="238" t="s">
        <v>278</v>
      </c>
      <c r="B1" s="239" t="s">
        <v>114</v>
      </c>
      <c r="C1" s="239" t="s">
        <v>279</v>
      </c>
      <c r="D1" s="239" t="s">
        <v>280</v>
      </c>
      <c r="E1" s="239" t="s">
        <v>281</v>
      </c>
      <c r="F1" s="239" t="s">
        <v>282</v>
      </c>
      <c r="G1" s="240" t="s">
        <v>253</v>
      </c>
    </row>
    <row r="2" spans="1:7" ht="18" x14ac:dyDescent="0.3">
      <c r="A2" s="242" t="s">
        <v>283</v>
      </c>
      <c r="B2" s="243"/>
      <c r="C2" s="243"/>
      <c r="D2" s="243"/>
      <c r="E2" s="243"/>
      <c r="F2" s="260"/>
      <c r="G2" s="241"/>
    </row>
    <row r="3" spans="1:7" ht="18" x14ac:dyDescent="0.3">
      <c r="A3" s="242"/>
      <c r="B3" s="243"/>
      <c r="C3" s="243"/>
      <c r="D3" s="243"/>
      <c r="E3" s="243"/>
      <c r="F3" s="260"/>
      <c r="G3" s="244"/>
    </row>
    <row r="4" spans="1:7" ht="18" x14ac:dyDescent="0.3">
      <c r="A4" s="242"/>
      <c r="B4" s="243"/>
      <c r="C4" s="243"/>
      <c r="D4" s="243"/>
      <c r="E4" s="243"/>
      <c r="F4" s="260"/>
      <c r="G4" s="244"/>
    </row>
    <row r="5" spans="1:7" ht="18" x14ac:dyDescent="0.3">
      <c r="A5" s="242"/>
      <c r="B5" s="243"/>
      <c r="C5" s="243"/>
      <c r="D5" s="243"/>
      <c r="E5" s="243"/>
      <c r="F5" s="243"/>
      <c r="G5" s="244"/>
    </row>
    <row r="6" spans="1:7" ht="18" x14ac:dyDescent="0.3">
      <c r="A6" s="242"/>
      <c r="B6" s="243"/>
      <c r="C6" s="243"/>
      <c r="D6" s="243"/>
      <c r="E6" s="243"/>
      <c r="F6" s="243"/>
      <c r="G6" s="244"/>
    </row>
    <row r="7" spans="1:7" ht="18" x14ac:dyDescent="0.3">
      <c r="A7" s="242"/>
      <c r="B7" s="243"/>
      <c r="C7" s="243"/>
      <c r="D7" s="243"/>
      <c r="E7" s="243"/>
      <c r="F7" s="243"/>
      <c r="G7" s="244"/>
    </row>
    <row r="8" spans="1:7" ht="18" x14ac:dyDescent="0.3">
      <c r="A8" s="242"/>
      <c r="B8" s="243"/>
      <c r="C8" s="243"/>
      <c r="D8" s="243"/>
      <c r="E8" s="243"/>
      <c r="F8" s="243"/>
      <c r="G8" s="244"/>
    </row>
    <row r="9" spans="1:7" ht="18" x14ac:dyDescent="0.3">
      <c r="A9" s="242"/>
      <c r="B9" s="243"/>
      <c r="C9" s="243"/>
      <c r="D9" s="243"/>
      <c r="E9" s="243"/>
      <c r="F9" s="243"/>
      <c r="G9" s="244"/>
    </row>
    <row r="10" spans="1:7" ht="18" x14ac:dyDescent="0.3">
      <c r="A10" s="242"/>
      <c r="B10" s="243"/>
      <c r="C10" s="243"/>
      <c r="D10" s="243"/>
      <c r="E10" s="243"/>
      <c r="F10" s="243"/>
      <c r="G10" s="244"/>
    </row>
    <row r="11" spans="1:7" ht="18" x14ac:dyDescent="0.3">
      <c r="A11" s="245"/>
      <c r="B11" s="246"/>
      <c r="C11" s="246"/>
      <c r="D11" s="246"/>
      <c r="E11" s="246"/>
      <c r="F11" s="246"/>
      <c r="G11" s="247"/>
    </row>
  </sheetData>
  <sheetProtection password="96E1" sheet="1" insertRows="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workbookViewId="0">
      <selection activeCell="D6" sqref="D6"/>
    </sheetView>
  </sheetViews>
  <sheetFormatPr baseColWidth="10" defaultColWidth="11.44140625" defaultRowHeight="14.4" x14ac:dyDescent="0.3"/>
  <cols>
    <col min="1" max="1" width="1.44140625" style="130" customWidth="1"/>
    <col min="2" max="2" width="8.44140625" style="130" customWidth="1"/>
    <col min="3" max="3" width="46.44140625" style="130" customWidth="1"/>
    <col min="4" max="4" width="36.109375" style="130" customWidth="1"/>
    <col min="5" max="5" width="1.44140625" style="130" customWidth="1"/>
    <col min="6" max="16384" width="11.44140625" style="130"/>
  </cols>
  <sheetData>
    <row r="1" spans="1:5" x14ac:dyDescent="0.3">
      <c r="A1" s="78"/>
      <c r="B1" s="78"/>
      <c r="C1" s="78"/>
      <c r="D1" s="78"/>
      <c r="E1" s="78"/>
    </row>
    <row r="2" spans="1:5" ht="15.6" x14ac:dyDescent="0.3">
      <c r="A2" s="78"/>
      <c r="B2" s="448" t="s">
        <v>284</v>
      </c>
      <c r="C2" s="448"/>
      <c r="D2" s="448"/>
      <c r="E2" s="78"/>
    </row>
    <row r="3" spans="1:5" ht="8.25" customHeight="1" x14ac:dyDescent="0.3">
      <c r="A3" s="78"/>
      <c r="B3" s="78"/>
      <c r="C3" s="78"/>
      <c r="D3" s="78"/>
      <c r="E3" s="78"/>
    </row>
    <row r="4" spans="1:5" x14ac:dyDescent="0.3">
      <c r="A4" s="78"/>
      <c r="B4" s="449" t="s">
        <v>285</v>
      </c>
      <c r="C4" s="449"/>
      <c r="D4" s="449"/>
      <c r="E4" s="78"/>
    </row>
    <row r="5" spans="1:5" ht="33.75" customHeight="1" x14ac:dyDescent="0.3">
      <c r="A5" s="78"/>
      <c r="B5" s="449"/>
      <c r="C5" s="449"/>
      <c r="D5" s="449"/>
      <c r="E5" s="78"/>
    </row>
    <row r="6" spans="1:5" ht="67.5" customHeight="1" x14ac:dyDescent="0.3">
      <c r="A6" s="78"/>
      <c r="B6" s="127">
        <v>1</v>
      </c>
      <c r="C6" s="128" t="s">
        <v>286</v>
      </c>
      <c r="D6" s="250" t="s">
        <v>287</v>
      </c>
      <c r="E6" s="78"/>
    </row>
    <row r="7" spans="1:5" ht="67.5" customHeight="1" x14ac:dyDescent="0.3">
      <c r="A7" s="78"/>
      <c r="B7" s="127">
        <v>2</v>
      </c>
      <c r="C7" s="128" t="s">
        <v>288</v>
      </c>
      <c r="D7" s="250" t="s">
        <v>289</v>
      </c>
      <c r="E7" s="78"/>
    </row>
    <row r="8" spans="1:5" ht="68.25" customHeight="1" x14ac:dyDescent="0.3">
      <c r="A8" s="78"/>
      <c r="B8" s="127">
        <v>3</v>
      </c>
      <c r="C8" s="129" t="s">
        <v>290</v>
      </c>
      <c r="D8" s="250" t="s">
        <v>291</v>
      </c>
      <c r="E8" s="78"/>
    </row>
    <row r="9" spans="1:5" ht="67.5" customHeight="1" x14ac:dyDescent="0.3">
      <c r="A9" s="78"/>
      <c r="B9" s="127">
        <v>4</v>
      </c>
      <c r="C9" s="129" t="s">
        <v>292</v>
      </c>
      <c r="D9" s="250" t="s">
        <v>293</v>
      </c>
      <c r="E9" s="78"/>
    </row>
    <row r="10" spans="1:5" ht="66" customHeight="1" x14ac:dyDescent="0.3">
      <c r="A10" s="78"/>
      <c r="B10" s="127">
        <v>5</v>
      </c>
      <c r="C10" s="129" t="s">
        <v>294</v>
      </c>
      <c r="D10" s="250" t="s">
        <v>291</v>
      </c>
      <c r="E10" s="78"/>
    </row>
    <row r="11" spans="1:5" ht="68.25" customHeight="1" x14ac:dyDescent="0.3">
      <c r="A11" s="78"/>
      <c r="B11" s="127">
        <v>6</v>
      </c>
      <c r="C11" s="129" t="s">
        <v>295</v>
      </c>
      <c r="D11" s="250" t="s">
        <v>291</v>
      </c>
      <c r="E11" s="78"/>
    </row>
    <row r="12" spans="1:5" ht="68.25" customHeight="1" x14ac:dyDescent="0.3">
      <c r="A12" s="78"/>
      <c r="B12" s="127">
        <v>7</v>
      </c>
      <c r="C12" s="129" t="s">
        <v>296</v>
      </c>
      <c r="D12" s="250" t="s">
        <v>297</v>
      </c>
      <c r="E12" s="78"/>
    </row>
    <row r="13" spans="1:5" ht="68.25" customHeight="1" x14ac:dyDescent="0.3">
      <c r="A13" s="78"/>
      <c r="B13" s="127">
        <v>8</v>
      </c>
      <c r="C13" s="129" t="s">
        <v>298</v>
      </c>
      <c r="D13" s="250" t="s">
        <v>299</v>
      </c>
      <c r="E13" s="78"/>
    </row>
    <row r="14" spans="1:5" ht="69" customHeight="1" x14ac:dyDescent="0.3">
      <c r="A14" s="78"/>
      <c r="B14" s="127">
        <v>9</v>
      </c>
      <c r="C14" s="129" t="s">
        <v>300</v>
      </c>
      <c r="D14" s="250" t="s">
        <v>299</v>
      </c>
      <c r="E14" s="78"/>
    </row>
    <row r="15" spans="1:5" ht="7.5" customHeight="1" x14ac:dyDescent="0.3">
      <c r="A15" s="78"/>
      <c r="B15" s="78"/>
      <c r="C15" s="78"/>
      <c r="D15" s="78"/>
      <c r="E15" s="7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Alexis Rendon Chica</cp:lastModifiedBy>
  <cp:revision/>
  <dcterms:created xsi:type="dcterms:W3CDTF">2013-03-04T20:23:26Z</dcterms:created>
  <dcterms:modified xsi:type="dcterms:W3CDTF">2023-05-16T20:50:56Z</dcterms:modified>
  <cp:category/>
  <cp:contentStatus/>
</cp:coreProperties>
</file>